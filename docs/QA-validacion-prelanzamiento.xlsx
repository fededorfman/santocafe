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hecklist" sheetId="2" state="visible" r:id="rId2"/>
    <sheet name="Leyenda" sheetId="3" state="visible" r:id="rId3"/>
  </sheets>
  <definedNames>
    <definedName name="_xlnm._FilterDatabase" localSheetId="1" hidden="1">'Checklist'!$A$1:$L$224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310"/>
      <sz val="16"/>
    </font>
    <font>
      <name val="Arial"/>
      <i val="1"/>
      <color rgb="008A7D6B"/>
      <sz val="10"/>
    </font>
    <font>
      <name val="Arial"/>
      <b val="1"/>
      <sz val="11"/>
    </font>
    <font>
      <name val="Arial"/>
      <sz val="11"/>
    </font>
    <font>
      <name val="Arial"/>
      <b val="1"/>
      <color rgb="009C0006"/>
      <sz val="11"/>
    </font>
    <font>
      <name val="Arial"/>
      <b val="1"/>
      <sz val="13"/>
    </font>
    <font>
      <name val="Arial"/>
      <b val="1"/>
      <color rgb="00FFFFFF"/>
    </font>
    <font>
      <name val="Arial"/>
      <b val="1"/>
      <sz val="10"/>
    </font>
    <font>
      <name val="Arial"/>
      <b val="1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A1310"/>
      </patternFill>
    </fill>
  </fills>
  <borders count="2">
    <border>
      <left/>
      <right/>
      <top/>
      <bottom/>
      <diagonal/>
    </border>
    <border>
      <left style="thin">
        <color rgb="00D9CFBE"/>
      </left>
      <right style="thin">
        <color rgb="00D9CFBE"/>
      </right>
      <top style="thin">
        <color rgb="00D9CFBE"/>
      </top>
      <bottom style="thin">
        <color rgb="00D9CFB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color rgb="00276A2E"/>
        <sz val="10"/>
      </font>
      <fill>
        <patternFill patternType="solid">
          <fgColor rgb="00C6EF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Santo Café — Validación pre-lanzamiento</t>
        </is>
      </c>
    </row>
    <row r="2">
      <c r="A2" s="2" t="inlineStr">
        <is>
          <t>Marcá la columna 'Probado' (✔) en la hoja Checklist a medida que validás.</t>
        </is>
      </c>
    </row>
    <row r="4">
      <c r="A4" s="3" t="inlineStr">
        <is>
          <t>Total casos</t>
        </is>
      </c>
      <c r="B4" s="4">
        <f>COUNTA(Checklist!A2:A224)</f>
        <v/>
      </c>
    </row>
    <row r="5">
      <c r="A5" s="3" t="inlineStr">
        <is>
          <t>Probados</t>
        </is>
      </c>
      <c r="B5" s="4">
        <f>COUNTIF(Checklist!H2:H224,"✔")</f>
        <v/>
      </c>
    </row>
    <row r="6">
      <c r="A6" s="3" t="inlineStr">
        <is>
          <t>Pendientes</t>
        </is>
      </c>
      <c r="B6" s="4">
        <f>B4-B5</f>
        <v/>
      </c>
    </row>
    <row r="7">
      <c r="A7" s="3" t="inlineStr">
        <is>
          <t>% Avance</t>
        </is>
      </c>
      <c r="B7" s="5">
        <f>IF(B4=0,0,B5/B4)</f>
        <v/>
      </c>
    </row>
    <row r="8">
      <c r="A8" s="3" t="inlineStr">
        <is>
          <t>OK</t>
        </is>
      </c>
      <c r="B8" s="4">
        <f>COUNTIF(Checklist!I2:I224,"OK")</f>
        <v/>
      </c>
    </row>
    <row r="9">
      <c r="A9" s="3" t="inlineStr">
        <is>
          <t>Fallas</t>
        </is>
      </c>
      <c r="B9" s="6">
        <f>COUNTIF(Checklist!I2:I224,"Falla")</f>
        <v/>
      </c>
    </row>
    <row r="10">
      <c r="A10" s="3" t="inlineStr">
        <is>
          <t>Bloqueantes sin probar</t>
        </is>
      </c>
      <c r="B10" s="6">
        <f>COUNTIFS(Checklist!J2:J224,"Bloqueante",Checklist!H2:H224,"")</f>
        <v/>
      </c>
    </row>
    <row r="12">
      <c r="A12" s="7" t="inlineStr">
        <is>
          <t>Por área</t>
        </is>
      </c>
    </row>
    <row r="13">
      <c r="A13" s="8" t="inlineStr">
        <is>
          <t>Área</t>
        </is>
      </c>
      <c r="B13" s="8" t="inlineStr">
        <is>
          <t>Total</t>
        </is>
      </c>
      <c r="C13" s="8" t="inlineStr">
        <is>
          <t>Probados</t>
        </is>
      </c>
      <c r="D13" s="8" t="inlineStr">
        <is>
          <t>% Avance</t>
        </is>
      </c>
    </row>
    <row r="14">
      <c r="A14" s="9" t="inlineStr">
        <is>
          <t>Global / Transversal</t>
        </is>
      </c>
      <c r="B14">
        <f>COUNTIF(Checklist!B2:B224,A14)</f>
        <v/>
      </c>
      <c r="C14">
        <f>COUNTIFS(Checklist!B2:B224,A14,Checklist!H2:H224,"✔")</f>
        <v/>
      </c>
      <c r="D14" s="10">
        <f>IF(B14=0,0,C14/B14)</f>
        <v/>
      </c>
    </row>
    <row r="15">
      <c r="A15" s="9" t="inlineStr">
        <is>
          <t>Home</t>
        </is>
      </c>
      <c r="B15">
        <f>COUNTIF(Checklist!B2:B224,A15)</f>
        <v/>
      </c>
      <c r="C15">
        <f>COUNTIFS(Checklist!B2:B224,A15,Checklist!H2:H224,"✔")</f>
        <v/>
      </c>
      <c r="D15" s="10">
        <f>IF(B15=0,0,C15/B15)</f>
        <v/>
      </c>
    </row>
    <row r="16">
      <c r="A16" s="9" t="inlineStr">
        <is>
          <t>Catálogo / Tienda</t>
        </is>
      </c>
      <c r="B16">
        <f>COUNTIF(Checklist!B2:B224,A16)</f>
        <v/>
      </c>
      <c r="C16">
        <f>COUNTIFS(Checklist!B2:B224,A16,Checklist!H2:H224,"✔")</f>
        <v/>
      </c>
      <c r="D16" s="10">
        <f>IF(B16=0,0,C16/B16)</f>
        <v/>
      </c>
    </row>
    <row r="17">
      <c r="A17" s="9" t="inlineStr">
        <is>
          <t>Ficha de producto</t>
        </is>
      </c>
      <c r="B17">
        <f>COUNTIF(Checklist!B2:B224,A17)</f>
        <v/>
      </c>
      <c r="C17">
        <f>COUNTIFS(Checklist!B2:B224,A17,Checklist!H2:H224,"✔")</f>
        <v/>
      </c>
      <c r="D17" s="10">
        <f>IF(B17=0,0,C17/B17)</f>
        <v/>
      </c>
    </row>
    <row r="18">
      <c r="A18" s="9" t="inlineStr">
        <is>
          <t>Carrito (drawer + página)</t>
        </is>
      </c>
      <c r="B18">
        <f>COUNTIF(Checklist!B2:B224,A18)</f>
        <v/>
      </c>
      <c r="C18">
        <f>COUNTIFS(Checklist!B2:B224,A18,Checklist!H2:H224,"✔")</f>
        <v/>
      </c>
      <c r="D18" s="10">
        <f>IF(B18=0,0,C18/B18)</f>
        <v/>
      </c>
    </row>
    <row r="19">
      <c r="A19" s="9" t="inlineStr">
        <is>
          <t>Checkout y Pago (Flow)</t>
        </is>
      </c>
      <c r="B19">
        <f>COUNTIF(Checklist!B2:B224,A19)</f>
        <v/>
      </c>
      <c r="C19">
        <f>COUNTIFS(Checklist!B2:B224,A19,Checklist!H2:H224,"✔")</f>
        <v/>
      </c>
      <c r="D19" s="10">
        <f>IF(B19=0,0,C19/B19)</f>
        <v/>
      </c>
    </row>
    <row r="20">
      <c r="A20" s="9" t="inlineStr">
        <is>
          <t>Post-compra</t>
        </is>
      </c>
      <c r="B20">
        <f>COUNTIF(Checklist!B2:B224,A20)</f>
        <v/>
      </c>
      <c r="C20">
        <f>COUNTIFS(Checklist!B2:B224,A20,Checklist!H2:H224,"✔")</f>
        <v/>
      </c>
      <c r="D20" s="10">
        <f>IF(B20=0,0,C20/B20)</f>
        <v/>
      </c>
    </row>
    <row r="21">
      <c r="A21" s="9" t="inlineStr">
        <is>
          <t>Mi cuenta</t>
        </is>
      </c>
      <c r="B21">
        <f>COUNTIF(Checklist!B2:B224,A21)</f>
        <v/>
      </c>
      <c r="C21">
        <f>COUNTIFS(Checklist!B2:B224,A21,Checklist!H2:H224,"✔")</f>
        <v/>
      </c>
      <c r="D21" s="10">
        <f>IF(B21=0,0,C21/B21)</f>
        <v/>
      </c>
    </row>
    <row r="22">
      <c r="A22" s="9" t="inlineStr">
        <is>
          <t>Emails</t>
        </is>
      </c>
      <c r="B22">
        <f>COUNTIF(Checklist!B2:B224,A22)</f>
        <v/>
      </c>
      <c r="C22">
        <f>COUNTIFS(Checklist!B2:B224,A22,Checklist!H2:H224,"✔")</f>
        <v/>
      </c>
      <c r="D22" s="10">
        <f>IF(B22=0,0,C22/B22)</f>
        <v/>
      </c>
    </row>
    <row r="23">
      <c r="A23" s="9" t="inlineStr">
        <is>
          <t>Guías / Contenido</t>
        </is>
      </c>
      <c r="B23">
        <f>COUNTIF(Checklist!B2:B224,A23)</f>
        <v/>
      </c>
      <c r="C23">
        <f>COUNTIFS(Checklist!B2:B224,A23,Checklist!H2:H224,"✔")</f>
        <v/>
      </c>
      <c r="D23" s="10">
        <f>IF(B23=0,0,C23/B23)</f>
        <v/>
      </c>
    </row>
    <row r="24">
      <c r="A24" s="9" t="inlineStr">
        <is>
          <t>Legales y Sistema</t>
        </is>
      </c>
      <c r="B24">
        <f>COUNTIF(Checklist!B2:B224,A24)</f>
        <v/>
      </c>
      <c r="C24">
        <f>COUNTIFS(Checklist!B2:B224,A24,Checklist!H2:H224,"✔")</f>
        <v/>
      </c>
      <c r="D24" s="10">
        <f>IF(B24=0,0,C24/B24)</f>
        <v/>
      </c>
    </row>
    <row r="25">
      <c r="A25" s="9" t="inlineStr">
        <is>
          <t>Casos borde y combinaciones</t>
        </is>
      </c>
      <c r="B25">
        <f>COUNTIF(Checklist!B2:B224,A25)</f>
        <v/>
      </c>
      <c r="C25">
        <f>COUNTIFS(Checklist!B2:B224,A25,Checklist!H2:H224,"✔")</f>
        <v/>
      </c>
      <c r="D25" s="10">
        <f>IF(B25=0,0,C25/B25)</f>
        <v/>
      </c>
    </row>
    <row r="26">
      <c r="A26" s="9" t="inlineStr">
        <is>
          <t>Performance / SEO / Seguridad / Deliverability</t>
        </is>
      </c>
      <c r="B26">
        <f>COUNTIF(Checklist!B2:B224,A26)</f>
        <v/>
      </c>
      <c r="C26">
        <f>COUNTIFS(Checklist!B2:B224,A26,Checklist!H2:H224,"✔")</f>
        <v/>
      </c>
      <c r="D26" s="10">
        <f>IF(B26=0,0,C26/B26)</f>
        <v/>
      </c>
    </row>
    <row r="27">
      <c r="A27" s="9" t="inlineStr">
        <is>
          <t>Pre-lanzamiento / Infra</t>
        </is>
      </c>
      <c r="B27">
        <f>COUNTIF(Checklist!B2:B224,A27)</f>
        <v/>
      </c>
      <c r="C27">
        <f>COUNTIFS(Checklist!B2:B224,A27,Checklist!H2:H224,"✔")</f>
        <v/>
      </c>
      <c r="D27" s="10">
        <f>IF(B27=0,0,C27/B27)</f>
        <v/>
      </c>
    </row>
    <row r="28">
      <c r="A28" s="11" t="inlineStr">
        <is>
          <t>TOTAL</t>
        </is>
      </c>
      <c r="B28" s="12">
        <f>SUM(B14:B27)</f>
        <v/>
      </c>
      <c r="C28" s="12">
        <f>SUM(C14:C27)</f>
        <v/>
      </c>
      <c r="D28" s="13">
        <f>IF(B28=0,0,C28/B28)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52" customWidth="1" min="4" max="4"/>
    <col width="12" customWidth="1" min="5" max="5"/>
    <col width="11" customWidth="1" min="6" max="6"/>
    <col width="46" customWidth="1" min="7" max="7"/>
    <col width="9" customWidth="1" min="8" max="8"/>
    <col width="12" customWidth="1" min="9" max="9"/>
    <col width="12" customWidth="1" min="10" max="10"/>
    <col width="16" customWidth="1" min="11" max="11"/>
    <col width="30" customWidth="1" min="12" max="12"/>
  </cols>
  <sheetData>
    <row r="1" ht="26" customHeight="1">
      <c r="A1" s="14" t="inlineStr">
        <is>
          <t>ID</t>
        </is>
      </c>
      <c r="B1" s="14" t="inlineStr">
        <is>
          <t>Área</t>
        </is>
      </c>
      <c r="C1" s="14" t="inlineStr">
        <is>
          <t>Pantalla/Panel</t>
        </is>
      </c>
      <c r="D1" s="14" t="inlineStr">
        <is>
          <t>Caso a validar</t>
        </is>
      </c>
      <c r="E1" s="14" t="inlineStr">
        <is>
          <t>Tipo</t>
        </is>
      </c>
      <c r="F1" s="14" t="inlineStr">
        <is>
          <t>Dispositivo</t>
        </is>
      </c>
      <c r="G1" s="14" t="inlineStr">
        <is>
          <t>Resultado esperado</t>
        </is>
      </c>
      <c r="H1" s="14" t="inlineStr">
        <is>
          <t>Probado</t>
        </is>
      </c>
      <c r="I1" s="14" t="inlineStr">
        <is>
          <t>Estado</t>
        </is>
      </c>
      <c r="J1" s="14" t="inlineStr">
        <is>
          <t>Severidad</t>
        </is>
      </c>
      <c r="K1" s="14" t="inlineStr">
        <is>
          <t>Navegador</t>
        </is>
      </c>
      <c r="L1" s="14" t="inlineStr">
        <is>
          <t>Notas</t>
        </is>
      </c>
    </row>
    <row r="2">
      <c r="A2" s="15" t="inlineStr">
        <is>
          <t>GLOB-001</t>
        </is>
      </c>
      <c r="B2" s="16" t="inlineStr">
        <is>
          <t>Global / Transversal</t>
        </is>
      </c>
      <c r="C2" s="16" t="inlineStr">
        <is>
          <t>Header/Navbar</t>
        </is>
      </c>
      <c r="D2" s="16" t="inlineStr">
        <is>
          <t>Logo visible y linkea a la home</t>
        </is>
      </c>
      <c r="E2" s="15" t="inlineStr">
        <is>
          <t>Diseño</t>
        </is>
      </c>
      <c r="F2" s="15" t="inlineStr">
        <is>
          <t>Desktop</t>
        </is>
      </c>
      <c r="G2" s="16" t="inlineStr">
        <is>
          <t>El logo aparece y lleva a la home</t>
        </is>
      </c>
      <c r="H2" s="15" t="inlineStr"/>
      <c r="I2" s="15" t="inlineStr">
        <is>
          <t>Pendiente</t>
        </is>
      </c>
      <c r="J2" s="15" t="inlineStr">
        <is>
          <t>Media</t>
        </is>
      </c>
      <c r="K2" s="16" t="inlineStr"/>
      <c r="L2" s="16" t="inlineStr"/>
    </row>
    <row r="3">
      <c r="A3" s="15" t="inlineStr">
        <is>
          <t>GLOB-002</t>
        </is>
      </c>
      <c r="B3" s="16" t="inlineStr">
        <is>
          <t>Global / Transversal</t>
        </is>
      </c>
      <c r="C3" s="16" t="inlineStr">
        <is>
          <t>Header/Navbar</t>
        </is>
      </c>
      <c r="D3" s="16" t="inlineStr">
        <is>
          <t>Logo visible y linkea a la home</t>
        </is>
      </c>
      <c r="E3" s="15" t="inlineStr">
        <is>
          <t>Diseño</t>
        </is>
      </c>
      <c r="F3" s="15" t="inlineStr">
        <is>
          <t>Tablet</t>
        </is>
      </c>
      <c r="G3" s="16" t="inlineStr">
        <is>
          <t>El logo aparece y lleva a la home</t>
        </is>
      </c>
      <c r="H3" s="15" t="inlineStr"/>
      <c r="I3" s="15" t="inlineStr">
        <is>
          <t>Pendiente</t>
        </is>
      </c>
      <c r="J3" s="15" t="inlineStr">
        <is>
          <t>Media</t>
        </is>
      </c>
      <c r="K3" s="16" t="inlineStr"/>
      <c r="L3" s="16" t="inlineStr"/>
    </row>
    <row r="4">
      <c r="A4" s="15" t="inlineStr">
        <is>
          <t>GLOB-003</t>
        </is>
      </c>
      <c r="B4" s="16" t="inlineStr">
        <is>
          <t>Global / Transversal</t>
        </is>
      </c>
      <c r="C4" s="16" t="inlineStr">
        <is>
          <t>Header/Navbar</t>
        </is>
      </c>
      <c r="D4" s="16" t="inlineStr">
        <is>
          <t>Logo visible y linkea a la home</t>
        </is>
      </c>
      <c r="E4" s="15" t="inlineStr">
        <is>
          <t>Diseño</t>
        </is>
      </c>
      <c r="F4" s="15" t="inlineStr">
        <is>
          <t>Mobile</t>
        </is>
      </c>
      <c r="G4" s="16" t="inlineStr">
        <is>
          <t>El logo aparece y lleva a la home</t>
        </is>
      </c>
      <c r="H4" s="15" t="inlineStr"/>
      <c r="I4" s="15" t="inlineStr">
        <is>
          <t>Pendiente</t>
        </is>
      </c>
      <c r="J4" s="15" t="inlineStr">
        <is>
          <t>Media</t>
        </is>
      </c>
      <c r="K4" s="16" t="inlineStr"/>
      <c r="L4" s="16" t="inlineStr"/>
    </row>
    <row r="5">
      <c r="A5" s="15" t="inlineStr">
        <is>
          <t>GLOB-004</t>
        </is>
      </c>
      <c r="B5" s="16" t="inlineStr">
        <is>
          <t>Global / Transversal</t>
        </is>
      </c>
      <c r="C5" s="16" t="inlineStr">
        <is>
          <t>Header/Navbar</t>
        </is>
      </c>
      <c r="D5" s="16" t="inlineStr">
        <is>
          <t>Items de menú correctos, activos y con hover/focus</t>
        </is>
      </c>
      <c r="E5" s="15" t="inlineStr">
        <is>
          <t>Diseño</t>
        </is>
      </c>
      <c r="F5" s="15" t="inlineStr">
        <is>
          <t>Desktop</t>
        </is>
      </c>
      <c r="G5" s="16" t="inlineStr">
        <is>
          <t>Links correctos, estado activo y foco visibles</t>
        </is>
      </c>
      <c r="H5" s="15" t="inlineStr"/>
      <c r="I5" s="15" t="inlineStr">
        <is>
          <t>Pendiente</t>
        </is>
      </c>
      <c r="J5" s="15" t="inlineStr">
        <is>
          <t>Media</t>
        </is>
      </c>
      <c r="K5" s="16" t="inlineStr"/>
      <c r="L5" s="16" t="inlineStr"/>
    </row>
    <row r="6">
      <c r="A6" s="15" t="inlineStr">
        <is>
          <t>GLOB-005</t>
        </is>
      </c>
      <c r="B6" s="16" t="inlineStr">
        <is>
          <t>Global / Transversal</t>
        </is>
      </c>
      <c r="C6" s="16" t="inlineStr">
        <is>
          <t>Header/Navbar</t>
        </is>
      </c>
      <c r="D6" s="16" t="inlineStr">
        <is>
          <t>Items de menú correctos, activos y con hover/focus</t>
        </is>
      </c>
      <c r="E6" s="15" t="inlineStr">
        <is>
          <t>Diseño</t>
        </is>
      </c>
      <c r="F6" s="15" t="inlineStr">
        <is>
          <t>Tablet</t>
        </is>
      </c>
      <c r="G6" s="16" t="inlineStr">
        <is>
          <t>Links correctos, estado activo y foco visibles</t>
        </is>
      </c>
      <c r="H6" s="15" t="inlineStr"/>
      <c r="I6" s="15" t="inlineStr">
        <is>
          <t>Pendiente</t>
        </is>
      </c>
      <c r="J6" s="15" t="inlineStr">
        <is>
          <t>Media</t>
        </is>
      </c>
      <c r="K6" s="16" t="inlineStr"/>
      <c r="L6" s="16" t="inlineStr"/>
    </row>
    <row r="7">
      <c r="A7" s="15" t="inlineStr">
        <is>
          <t>GLOB-006</t>
        </is>
      </c>
      <c r="B7" s="16" t="inlineStr">
        <is>
          <t>Global / Transversal</t>
        </is>
      </c>
      <c r="C7" s="16" t="inlineStr">
        <is>
          <t>Header/Navbar</t>
        </is>
      </c>
      <c r="D7" s="16" t="inlineStr">
        <is>
          <t>Items de menú correctos, activos y con hover/focus</t>
        </is>
      </c>
      <c r="E7" s="15" t="inlineStr">
        <is>
          <t>Diseño</t>
        </is>
      </c>
      <c r="F7" s="15" t="inlineStr">
        <is>
          <t>Mobile</t>
        </is>
      </c>
      <c r="G7" s="16" t="inlineStr">
        <is>
          <t>Links correctos, estado activo y foco visibles</t>
        </is>
      </c>
      <c r="H7" s="15" t="inlineStr"/>
      <c r="I7" s="15" t="inlineStr">
        <is>
          <t>Pendiente</t>
        </is>
      </c>
      <c r="J7" s="15" t="inlineStr">
        <is>
          <t>Media</t>
        </is>
      </c>
      <c r="K7" s="16" t="inlineStr"/>
      <c r="L7" s="16" t="inlineStr"/>
    </row>
    <row r="8">
      <c r="A8" s="15" t="inlineStr">
        <is>
          <t>GLOB-007</t>
        </is>
      </c>
      <c r="B8" s="16" t="inlineStr">
        <is>
          <t>Global / Transversal</t>
        </is>
      </c>
      <c r="C8" s="16" t="inlineStr">
        <is>
          <t>Header/Navbar</t>
        </is>
      </c>
      <c r="D8" s="16" t="inlineStr">
        <is>
          <t>Ícono de cuenta cambia según logueado / no logueado</t>
        </is>
      </c>
      <c r="E8" s="15" t="inlineStr">
        <is>
          <t>Funcional</t>
        </is>
      </c>
      <c r="F8" s="15" t="inlineStr">
        <is>
          <t>—</t>
        </is>
      </c>
      <c r="G8" s="16" t="inlineStr">
        <is>
          <t>Muestra el estado correcto y abre cuenta/login</t>
        </is>
      </c>
      <c r="H8" s="15" t="inlineStr"/>
      <c r="I8" s="15" t="inlineStr">
        <is>
          <t>Pendiente</t>
        </is>
      </c>
      <c r="J8" s="15" t="inlineStr">
        <is>
          <t>Media</t>
        </is>
      </c>
      <c r="K8" s="16" t="inlineStr"/>
      <c r="L8" s="16" t="inlineStr"/>
    </row>
    <row r="9">
      <c r="A9" s="15" t="inlineStr">
        <is>
          <t>GLOB-008</t>
        </is>
      </c>
      <c r="B9" s="16" t="inlineStr">
        <is>
          <t>Global / Transversal</t>
        </is>
      </c>
      <c r="C9" s="16" t="inlineStr">
        <is>
          <t>Header/Navbar</t>
        </is>
      </c>
      <c r="D9" s="16" t="inlineStr">
        <is>
          <t>Badge del carrito con cantidad correcta y estado vacío</t>
        </is>
      </c>
      <c r="E9" s="15" t="inlineStr">
        <is>
          <t>Funcional</t>
        </is>
      </c>
      <c r="F9" s="15" t="inlineStr">
        <is>
          <t>—</t>
        </is>
      </c>
      <c r="G9" s="16" t="inlineStr">
        <is>
          <t>El número coincide con el carrito; vacío sin badge</t>
        </is>
      </c>
      <c r="H9" s="15" t="inlineStr"/>
      <c r="I9" s="15" t="inlineStr">
        <is>
          <t>Pendiente</t>
        </is>
      </c>
      <c r="J9" s="15" t="inlineStr">
        <is>
          <t>Alta</t>
        </is>
      </c>
      <c r="K9" s="16" t="inlineStr"/>
      <c r="L9" s="16" t="inlineStr"/>
    </row>
    <row r="10">
      <c r="A10" s="15" t="inlineStr">
        <is>
          <t>GLOB-009</t>
        </is>
      </c>
      <c r="B10" s="16" t="inlineStr">
        <is>
          <t>Global / Transversal</t>
        </is>
      </c>
      <c r="C10" s="16" t="inlineStr">
        <is>
          <t>Header/Navbar</t>
        </is>
      </c>
      <c r="D10" s="16" t="inlineStr">
        <is>
          <t>Padding del header se mantiene con y sin banner de envío</t>
        </is>
      </c>
      <c r="E10" s="15" t="inlineStr">
        <is>
          <t>Diseño</t>
        </is>
      </c>
      <c r="F10" s="15" t="inlineStr">
        <is>
          <t>Desktop</t>
        </is>
      </c>
      <c r="G10" s="16" t="inlineStr">
        <is>
          <t>El alto/padding no cambia al mostrar la línea amarilla</t>
        </is>
      </c>
      <c r="H10" s="15" t="inlineStr"/>
      <c r="I10" s="15" t="inlineStr">
        <is>
          <t>Pendiente</t>
        </is>
      </c>
      <c r="J10" s="15" t="inlineStr">
        <is>
          <t>Media</t>
        </is>
      </c>
      <c r="K10" s="16" t="inlineStr"/>
      <c r="L10" s="16" t="inlineStr"/>
    </row>
    <row r="11">
      <c r="A11" s="15" t="inlineStr">
        <is>
          <t>GLOB-010</t>
        </is>
      </c>
      <c r="B11" s="16" t="inlineStr">
        <is>
          <t>Global / Transversal</t>
        </is>
      </c>
      <c r="C11" s="16" t="inlineStr">
        <is>
          <t>Header/Navbar</t>
        </is>
      </c>
      <c r="D11" s="16" t="inlineStr">
        <is>
          <t>Padding del header se mantiene con y sin banner de envío</t>
        </is>
      </c>
      <c r="E11" s="15" t="inlineStr">
        <is>
          <t>Diseño</t>
        </is>
      </c>
      <c r="F11" s="15" t="inlineStr">
        <is>
          <t>Tablet</t>
        </is>
      </c>
      <c r="G11" s="16" t="inlineStr">
        <is>
          <t>El alto/padding no cambia al mostrar la línea amarilla</t>
        </is>
      </c>
      <c r="H11" s="15" t="inlineStr"/>
      <c r="I11" s="15" t="inlineStr">
        <is>
          <t>Pendiente</t>
        </is>
      </c>
      <c r="J11" s="15" t="inlineStr">
        <is>
          <t>Media</t>
        </is>
      </c>
      <c r="K11" s="16" t="inlineStr"/>
      <c r="L11" s="16" t="inlineStr"/>
    </row>
    <row r="12">
      <c r="A12" s="15" t="inlineStr">
        <is>
          <t>GLOB-011</t>
        </is>
      </c>
      <c r="B12" s="16" t="inlineStr">
        <is>
          <t>Global / Transversal</t>
        </is>
      </c>
      <c r="C12" s="16" t="inlineStr">
        <is>
          <t>Header/Navbar</t>
        </is>
      </c>
      <c r="D12" s="16" t="inlineStr">
        <is>
          <t>Padding del header se mantiene con y sin banner de envío</t>
        </is>
      </c>
      <c r="E12" s="15" t="inlineStr">
        <is>
          <t>Diseño</t>
        </is>
      </c>
      <c r="F12" s="15" t="inlineStr">
        <is>
          <t>Mobile</t>
        </is>
      </c>
      <c r="G12" s="16" t="inlineStr">
        <is>
          <t>El alto/padding no cambia al mostrar la línea amarilla</t>
        </is>
      </c>
      <c r="H12" s="15" t="inlineStr"/>
      <c r="I12" s="15" t="inlineStr">
        <is>
          <t>Pendiente</t>
        </is>
      </c>
      <c r="J12" s="15" t="inlineStr">
        <is>
          <t>Media</t>
        </is>
      </c>
      <c r="K12" s="16" t="inlineStr"/>
      <c r="L12" s="16" t="inlineStr"/>
    </row>
    <row r="13">
      <c r="A13" s="15" t="inlineStr">
        <is>
          <t>GLOB-012</t>
        </is>
      </c>
      <c r="B13" s="16" t="inlineStr">
        <is>
          <t>Global / Transversal</t>
        </is>
      </c>
      <c r="C13" s="16" t="inlineStr">
        <is>
          <t>Header/Navbar</t>
        </is>
      </c>
      <c r="D13" s="16" t="inlineStr">
        <is>
          <t>Navbar transparente sobre hero y sólido al scrollear</t>
        </is>
      </c>
      <c r="E13" s="15" t="inlineStr">
        <is>
          <t>Diseño</t>
        </is>
      </c>
      <c r="F13" s="15" t="inlineStr">
        <is>
          <t>Desktop</t>
        </is>
      </c>
      <c r="G13" s="16" t="inlineStr">
        <is>
          <t>Transición correcta al hacer scroll</t>
        </is>
      </c>
      <c r="H13" s="15" t="inlineStr"/>
      <c r="I13" s="15" t="inlineStr">
        <is>
          <t>Pendiente</t>
        </is>
      </c>
      <c r="J13" s="15" t="inlineStr">
        <is>
          <t>Baja</t>
        </is>
      </c>
      <c r="K13" s="16" t="inlineStr"/>
      <c r="L13" s="16" t="inlineStr"/>
    </row>
    <row r="14">
      <c r="A14" s="15" t="inlineStr">
        <is>
          <t>GLOB-013</t>
        </is>
      </c>
      <c r="B14" s="16" t="inlineStr">
        <is>
          <t>Global / Transversal</t>
        </is>
      </c>
      <c r="C14" s="16" t="inlineStr">
        <is>
          <t>Header/Navbar</t>
        </is>
      </c>
      <c r="D14" s="16" t="inlineStr">
        <is>
          <t>Navbar transparente sobre hero y sólido al scrollear</t>
        </is>
      </c>
      <c r="E14" s="15" t="inlineStr">
        <is>
          <t>Diseño</t>
        </is>
      </c>
      <c r="F14" s="15" t="inlineStr">
        <is>
          <t>Tablet</t>
        </is>
      </c>
      <c r="G14" s="16" t="inlineStr">
        <is>
          <t>Transición correcta al hacer scroll</t>
        </is>
      </c>
      <c r="H14" s="15" t="inlineStr"/>
      <c r="I14" s="15" t="inlineStr">
        <is>
          <t>Pendiente</t>
        </is>
      </c>
      <c r="J14" s="15" t="inlineStr">
        <is>
          <t>Baja</t>
        </is>
      </c>
      <c r="K14" s="16" t="inlineStr"/>
      <c r="L14" s="16" t="inlineStr"/>
    </row>
    <row r="15">
      <c r="A15" s="15" t="inlineStr">
        <is>
          <t>GLOB-014</t>
        </is>
      </c>
      <c r="B15" s="16" t="inlineStr">
        <is>
          <t>Global / Transversal</t>
        </is>
      </c>
      <c r="C15" s="16" t="inlineStr">
        <is>
          <t>Header/Navbar</t>
        </is>
      </c>
      <c r="D15" s="16" t="inlineStr">
        <is>
          <t>Navbar transparente sobre hero y sólido al scrollear</t>
        </is>
      </c>
      <c r="E15" s="15" t="inlineStr">
        <is>
          <t>Diseño</t>
        </is>
      </c>
      <c r="F15" s="15" t="inlineStr">
        <is>
          <t>Mobile</t>
        </is>
      </c>
      <c r="G15" s="16" t="inlineStr">
        <is>
          <t>Transición correcta al hacer scroll</t>
        </is>
      </c>
      <c r="H15" s="15" t="inlineStr"/>
      <c r="I15" s="15" t="inlineStr">
        <is>
          <t>Pendiente</t>
        </is>
      </c>
      <c r="J15" s="15" t="inlineStr">
        <is>
          <t>Baja</t>
        </is>
      </c>
      <c r="K15" s="16" t="inlineStr"/>
      <c r="L15" s="16" t="inlineStr"/>
    </row>
    <row r="16">
      <c r="A16" s="15" t="inlineStr">
        <is>
          <t>GLOB-015</t>
        </is>
      </c>
      <c r="B16" s="16" t="inlineStr">
        <is>
          <t>Global / Transversal</t>
        </is>
      </c>
      <c r="C16" s="16" t="inlineStr">
        <is>
          <t>Header/Navbar</t>
        </is>
      </c>
      <c r="D16" s="16" t="inlineStr">
        <is>
          <t>Drawer mobile: abre/cierra, overlay, ESC, foco atrapado</t>
        </is>
      </c>
      <c r="E16" s="15" t="inlineStr">
        <is>
          <t>Funcional</t>
        </is>
      </c>
      <c r="F16" s="15" t="inlineStr">
        <is>
          <t>—</t>
        </is>
      </c>
      <c r="G16" s="16" t="inlineStr">
        <is>
          <t>Abre y cierra bien; bloquea scroll de fondo; ESC cierra</t>
        </is>
      </c>
      <c r="H16" s="15" t="inlineStr"/>
      <c r="I16" s="15" t="inlineStr">
        <is>
          <t>Pendiente</t>
        </is>
      </c>
      <c r="J16" s="15" t="inlineStr">
        <is>
          <t>Alta</t>
        </is>
      </c>
      <c r="K16" s="16" t="inlineStr"/>
      <c r="L16" s="16" t="inlineStr"/>
    </row>
    <row r="17">
      <c r="A17" s="15" t="inlineStr">
        <is>
          <t>GLOB-016</t>
        </is>
      </c>
      <c r="B17" s="16" t="inlineStr">
        <is>
          <t>Global / Transversal</t>
        </is>
      </c>
      <c r="C17" s="16" t="inlineStr">
        <is>
          <t>Header/Navbar</t>
        </is>
      </c>
      <c r="D17" s="16" t="inlineStr">
        <is>
          <t>No hay flicker de cursor y no se arrastran imágenes</t>
        </is>
      </c>
      <c r="E17" s="15" t="inlineStr">
        <is>
          <t>Diseño</t>
        </is>
      </c>
      <c r="F17" s="15" t="inlineStr">
        <is>
          <t>—</t>
        </is>
      </c>
      <c r="G17" s="16" t="inlineStr">
        <is>
          <t>Cursor pointer estable; imágenes no draggables</t>
        </is>
      </c>
      <c r="H17" s="15" t="inlineStr"/>
      <c r="I17" s="15" t="inlineStr">
        <is>
          <t>Pendiente</t>
        </is>
      </c>
      <c r="J17" s="15" t="inlineStr">
        <is>
          <t>Baja</t>
        </is>
      </c>
      <c r="K17" s="16" t="inlineStr"/>
      <c r="L17" s="16" t="inlineStr"/>
    </row>
    <row r="18">
      <c r="A18" s="15" t="inlineStr">
        <is>
          <t>GLOB-017</t>
        </is>
      </c>
      <c r="B18" s="16" t="inlineStr">
        <is>
          <t>Global / Transversal</t>
        </is>
      </c>
      <c r="C18" s="16" t="inlineStr">
        <is>
          <t>Footer</t>
        </is>
      </c>
      <c r="D18" s="16" t="inlineStr">
        <is>
          <t>Links vivos; redes abren en nueva pestaña (rel=noopener)</t>
        </is>
      </c>
      <c r="E18" s="15" t="inlineStr">
        <is>
          <t>Diseño</t>
        </is>
      </c>
      <c r="F18" s="15" t="inlineStr">
        <is>
          <t>Desktop</t>
        </is>
      </c>
      <c r="G18" s="16" t="inlineStr">
        <is>
          <t>Todos los links funcionan; redes en pestaña nueva</t>
        </is>
      </c>
      <c r="H18" s="15" t="inlineStr"/>
      <c r="I18" s="15" t="inlineStr">
        <is>
          <t>Pendiente</t>
        </is>
      </c>
      <c r="J18" s="15" t="inlineStr">
        <is>
          <t>Media</t>
        </is>
      </c>
      <c r="K18" s="16" t="inlineStr"/>
      <c r="L18" s="16" t="inlineStr"/>
    </row>
    <row r="19">
      <c r="A19" s="15" t="inlineStr">
        <is>
          <t>GLOB-018</t>
        </is>
      </c>
      <c r="B19" s="16" t="inlineStr">
        <is>
          <t>Global / Transversal</t>
        </is>
      </c>
      <c r="C19" s="16" t="inlineStr">
        <is>
          <t>Footer</t>
        </is>
      </c>
      <c r="D19" s="16" t="inlineStr">
        <is>
          <t>Links vivos; redes abren en nueva pestaña (rel=noopener)</t>
        </is>
      </c>
      <c r="E19" s="15" t="inlineStr">
        <is>
          <t>Diseño</t>
        </is>
      </c>
      <c r="F19" s="15" t="inlineStr">
        <is>
          <t>Tablet</t>
        </is>
      </c>
      <c r="G19" s="16" t="inlineStr">
        <is>
          <t>Todos los links funcionan; redes en pestaña nueva</t>
        </is>
      </c>
      <c r="H19" s="15" t="inlineStr"/>
      <c r="I19" s="15" t="inlineStr">
        <is>
          <t>Pendiente</t>
        </is>
      </c>
      <c r="J19" s="15" t="inlineStr">
        <is>
          <t>Media</t>
        </is>
      </c>
      <c r="K19" s="16" t="inlineStr"/>
      <c r="L19" s="16" t="inlineStr"/>
    </row>
    <row r="20">
      <c r="A20" s="15" t="inlineStr">
        <is>
          <t>GLOB-019</t>
        </is>
      </c>
      <c r="B20" s="16" t="inlineStr">
        <is>
          <t>Global / Transversal</t>
        </is>
      </c>
      <c r="C20" s="16" t="inlineStr">
        <is>
          <t>Footer</t>
        </is>
      </c>
      <c r="D20" s="16" t="inlineStr">
        <is>
          <t>Links vivos; redes abren en nueva pestaña (rel=noopener)</t>
        </is>
      </c>
      <c r="E20" s="15" t="inlineStr">
        <is>
          <t>Diseño</t>
        </is>
      </c>
      <c r="F20" s="15" t="inlineStr">
        <is>
          <t>Mobile</t>
        </is>
      </c>
      <c r="G20" s="16" t="inlineStr">
        <is>
          <t>Todos los links funcionan; redes en pestaña nueva</t>
        </is>
      </c>
      <c r="H20" s="15" t="inlineStr"/>
      <c r="I20" s="15" t="inlineStr">
        <is>
          <t>Pendiente</t>
        </is>
      </c>
      <c r="J20" s="15" t="inlineStr">
        <is>
          <t>Media</t>
        </is>
      </c>
      <c r="K20" s="16" t="inlineStr"/>
      <c r="L20" s="16" t="inlineStr"/>
    </row>
    <row r="21">
      <c r="A21" s="15" t="inlineStr">
        <is>
          <t>GLOB-020</t>
        </is>
      </c>
      <c r="B21" s="16" t="inlineStr">
        <is>
          <t>Global / Transversal</t>
        </is>
      </c>
      <c r="C21" s="16" t="inlineStr">
        <is>
          <t>Footer</t>
        </is>
      </c>
      <c r="D21" s="16" t="inlineStr">
        <is>
          <t>Datos de contacto, legales y año dinámico de copyright</t>
        </is>
      </c>
      <c r="E21" s="15" t="inlineStr">
        <is>
          <t>Contenido</t>
        </is>
      </c>
      <c r="F21" s="15" t="inlineStr">
        <is>
          <t>Desktop</t>
        </is>
      </c>
      <c r="G21" s="16" t="inlineStr">
        <is>
          <t>Datos correctos; el año es el actual</t>
        </is>
      </c>
      <c r="H21" s="15" t="inlineStr"/>
      <c r="I21" s="15" t="inlineStr">
        <is>
          <t>Pendiente</t>
        </is>
      </c>
      <c r="J21" s="15" t="inlineStr">
        <is>
          <t>Baja</t>
        </is>
      </c>
      <c r="K21" s="16" t="inlineStr"/>
      <c r="L21" s="16" t="inlineStr"/>
    </row>
    <row r="22">
      <c r="A22" s="15" t="inlineStr">
        <is>
          <t>GLOB-021</t>
        </is>
      </c>
      <c r="B22" s="16" t="inlineStr">
        <is>
          <t>Global / Transversal</t>
        </is>
      </c>
      <c r="C22" s="16" t="inlineStr">
        <is>
          <t>Footer</t>
        </is>
      </c>
      <c r="D22" s="16" t="inlineStr">
        <is>
          <t>Datos de contacto, legales y año dinámico de copyright</t>
        </is>
      </c>
      <c r="E22" s="15" t="inlineStr">
        <is>
          <t>Contenido</t>
        </is>
      </c>
      <c r="F22" s="15" t="inlineStr">
        <is>
          <t>Tablet</t>
        </is>
      </c>
      <c r="G22" s="16" t="inlineStr">
        <is>
          <t>Datos correctos; el año es el actual</t>
        </is>
      </c>
      <c r="H22" s="15" t="inlineStr"/>
      <c r="I22" s="15" t="inlineStr">
        <is>
          <t>Pendiente</t>
        </is>
      </c>
      <c r="J22" s="15" t="inlineStr">
        <is>
          <t>Baja</t>
        </is>
      </c>
      <c r="K22" s="16" t="inlineStr"/>
      <c r="L22" s="16" t="inlineStr"/>
    </row>
    <row r="23">
      <c r="A23" s="15" t="inlineStr">
        <is>
          <t>GLOB-022</t>
        </is>
      </c>
      <c r="B23" s="16" t="inlineStr">
        <is>
          <t>Global / Transversal</t>
        </is>
      </c>
      <c r="C23" s="16" t="inlineStr">
        <is>
          <t>Footer</t>
        </is>
      </c>
      <c r="D23" s="16" t="inlineStr">
        <is>
          <t>Datos de contacto, legales y año dinámico de copyright</t>
        </is>
      </c>
      <c r="E23" s="15" t="inlineStr">
        <is>
          <t>Contenido</t>
        </is>
      </c>
      <c r="F23" s="15" t="inlineStr">
        <is>
          <t>Mobile</t>
        </is>
      </c>
      <c r="G23" s="16" t="inlineStr">
        <is>
          <t>Datos correctos; el año es el actual</t>
        </is>
      </c>
      <c r="H23" s="15" t="inlineStr"/>
      <c r="I23" s="15" t="inlineStr">
        <is>
          <t>Pendiente</t>
        </is>
      </c>
      <c r="J23" s="15" t="inlineStr">
        <is>
          <t>Baja</t>
        </is>
      </c>
      <c r="K23" s="16" t="inlineStr"/>
      <c r="L23" s="16" t="inlineStr"/>
    </row>
    <row r="24">
      <c r="A24" s="15" t="inlineStr">
        <is>
          <t>GLOB-023</t>
        </is>
      </c>
      <c r="B24" s="16" t="inlineStr">
        <is>
          <t>Global / Transversal</t>
        </is>
      </c>
      <c r="C24" s="16" t="inlineStr">
        <is>
          <t>Cookies</t>
        </is>
      </c>
      <c r="D24" s="16" t="inlineStr">
        <is>
          <t>Banner CookieYes aparece, Aceptar/Rechazar persiste</t>
        </is>
      </c>
      <c r="E24" s="15" t="inlineStr">
        <is>
          <t>Integración</t>
        </is>
      </c>
      <c r="F24" s="15" t="inlineStr">
        <is>
          <t>—</t>
        </is>
      </c>
      <c r="G24" s="16" t="inlineStr">
        <is>
          <t>Se muestra 1ra visita; la elección persiste; no bloquea uso</t>
        </is>
      </c>
      <c r="H24" s="15" t="inlineStr"/>
      <c r="I24" s="15" t="inlineStr">
        <is>
          <t>Pendiente</t>
        </is>
      </c>
      <c r="J24" s="15" t="inlineStr">
        <is>
          <t>Alta</t>
        </is>
      </c>
      <c r="K24" s="16" t="inlineStr"/>
      <c r="L24" s="16" t="inlineStr"/>
    </row>
    <row r="25">
      <c r="A25" s="15" t="inlineStr">
        <is>
          <t>GLOB-024</t>
        </is>
      </c>
      <c r="B25" s="16" t="inlineStr">
        <is>
          <t>Global / Transversal</t>
        </is>
      </c>
      <c r="C25" s="16" t="inlineStr">
        <is>
          <t>Contenido</t>
        </is>
      </c>
      <c r="D25" s="16" t="inlineStr">
        <is>
          <t>Tuteo chileno consistente, sin voseo, sin typos, sin lorem</t>
        </is>
      </c>
      <c r="E25" s="15" t="inlineStr">
        <is>
          <t>Contenido</t>
        </is>
      </c>
      <c r="F25" s="15" t="inlineStr">
        <is>
          <t>—</t>
        </is>
      </c>
      <c r="G25" s="16" t="inlineStr">
        <is>
          <t>Lenguaje y ortografía correctos en todo el sitio</t>
        </is>
      </c>
      <c r="H25" s="15" t="inlineStr"/>
      <c r="I25" s="15" t="inlineStr">
        <is>
          <t>Pendiente</t>
        </is>
      </c>
      <c r="J25" s="15" t="inlineStr">
        <is>
          <t>Media</t>
        </is>
      </c>
      <c r="K25" s="16" t="inlineStr"/>
      <c r="L25" s="16" t="inlineStr"/>
    </row>
    <row r="26">
      <c r="A26" s="15" t="inlineStr">
        <is>
          <t>GLOB-025</t>
        </is>
      </c>
      <c r="B26" s="16" t="inlineStr">
        <is>
          <t>Global / Transversal</t>
        </is>
      </c>
      <c r="C26" s="16" t="inlineStr">
        <is>
          <t>Contenido</t>
        </is>
      </c>
      <c r="D26" s="16" t="inlineStr">
        <is>
          <t>Sin placeholders {{...}} visibles</t>
        </is>
      </c>
      <c r="E26" s="15" t="inlineStr">
        <is>
          <t>Contenido</t>
        </is>
      </c>
      <c r="F26" s="15" t="inlineStr">
        <is>
          <t>—</t>
        </is>
      </c>
      <c r="G26" s="16" t="inlineStr">
        <is>
          <t>Ningún merge-tag crudo aparece</t>
        </is>
      </c>
      <c r="H26" s="15" t="inlineStr"/>
      <c r="I26" s="15" t="inlineStr">
        <is>
          <t>Pendiente</t>
        </is>
      </c>
      <c r="J26" s="15" t="inlineStr">
        <is>
          <t>Alta</t>
        </is>
      </c>
      <c r="K26" s="16" t="inlineStr"/>
      <c r="L26" s="16" t="inlineStr"/>
    </row>
    <row r="27">
      <c r="A27" s="15" t="inlineStr">
        <is>
          <t>GLOB-026</t>
        </is>
      </c>
      <c r="B27" s="16" t="inlineStr">
        <is>
          <t>Global / Transversal</t>
        </is>
      </c>
      <c r="C27" s="16" t="inlineStr">
        <is>
          <t>Contenido</t>
        </is>
      </c>
      <c r="D27" s="16" t="inlineStr">
        <is>
          <t>Precios en CLP formato $X.XXX en todo el sitio</t>
        </is>
      </c>
      <c r="E27" s="15" t="inlineStr">
        <is>
          <t>Contenido</t>
        </is>
      </c>
      <c r="F27" s="15" t="inlineStr">
        <is>
          <t>—</t>
        </is>
      </c>
      <c r="G27" s="16" t="inlineStr">
        <is>
          <t>Formato de moneda consistente en catálogo/ficha/carrito/checkout/emails</t>
        </is>
      </c>
      <c r="H27" s="15" t="inlineStr"/>
      <c r="I27" s="15" t="inlineStr">
        <is>
          <t>Pendiente</t>
        </is>
      </c>
      <c r="J27" s="15" t="inlineStr">
        <is>
          <t>Alta</t>
        </is>
      </c>
      <c r="K27" s="16" t="inlineStr"/>
      <c r="L27" s="16" t="inlineStr"/>
    </row>
    <row r="28">
      <c r="A28" s="15" t="inlineStr">
        <is>
          <t>GLOB-027</t>
        </is>
      </c>
      <c r="B28" s="16" t="inlineStr">
        <is>
          <t>Global / Transversal</t>
        </is>
      </c>
      <c r="C28" s="16" t="inlineStr">
        <is>
          <t>Diseño</t>
        </is>
      </c>
      <c r="D28" s="16" t="inlineStr">
        <is>
          <t>Sin scroll horizontal ni desbordes; imágenes nítidas</t>
        </is>
      </c>
      <c r="E28" s="15" t="inlineStr">
        <is>
          <t>Diseño</t>
        </is>
      </c>
      <c r="F28" s="15" t="inlineStr">
        <is>
          <t>Desktop</t>
        </is>
      </c>
      <c r="G28" s="16" t="inlineStr">
        <is>
          <t>Nada se desborda; imágenes bien recortadas</t>
        </is>
      </c>
      <c r="H28" s="15" t="inlineStr"/>
      <c r="I28" s="15" t="inlineStr">
        <is>
          <t>Pendiente</t>
        </is>
      </c>
      <c r="J28" s="15" t="inlineStr">
        <is>
          <t>Media</t>
        </is>
      </c>
      <c r="K28" s="16" t="inlineStr"/>
      <c r="L28" s="16" t="inlineStr"/>
    </row>
    <row r="29">
      <c r="A29" s="15" t="inlineStr">
        <is>
          <t>GLOB-028</t>
        </is>
      </c>
      <c r="B29" s="16" t="inlineStr">
        <is>
          <t>Global / Transversal</t>
        </is>
      </c>
      <c r="C29" s="16" t="inlineStr">
        <is>
          <t>Diseño</t>
        </is>
      </c>
      <c r="D29" s="16" t="inlineStr">
        <is>
          <t>Sin scroll horizontal ni desbordes; imágenes nítidas</t>
        </is>
      </c>
      <c r="E29" s="15" t="inlineStr">
        <is>
          <t>Diseño</t>
        </is>
      </c>
      <c r="F29" s="15" t="inlineStr">
        <is>
          <t>Tablet</t>
        </is>
      </c>
      <c r="G29" s="16" t="inlineStr">
        <is>
          <t>Nada se desborda; imágenes bien recortadas</t>
        </is>
      </c>
      <c r="H29" s="15" t="inlineStr"/>
      <c r="I29" s="15" t="inlineStr">
        <is>
          <t>Pendiente</t>
        </is>
      </c>
      <c r="J29" s="15" t="inlineStr">
        <is>
          <t>Media</t>
        </is>
      </c>
      <c r="K29" s="16" t="inlineStr"/>
      <c r="L29" s="16" t="inlineStr"/>
    </row>
    <row r="30">
      <c r="A30" s="15" t="inlineStr">
        <is>
          <t>GLOB-029</t>
        </is>
      </c>
      <c r="B30" s="16" t="inlineStr">
        <is>
          <t>Global / Transversal</t>
        </is>
      </c>
      <c r="C30" s="16" t="inlineStr">
        <is>
          <t>Diseño</t>
        </is>
      </c>
      <c r="D30" s="16" t="inlineStr">
        <is>
          <t>Sin scroll horizontal ni desbordes; imágenes nítidas</t>
        </is>
      </c>
      <c r="E30" s="15" t="inlineStr">
        <is>
          <t>Diseño</t>
        </is>
      </c>
      <c r="F30" s="15" t="inlineStr">
        <is>
          <t>Mobile</t>
        </is>
      </c>
      <c r="G30" s="16" t="inlineStr">
        <is>
          <t>Nada se desborda; imágenes bien recortadas</t>
        </is>
      </c>
      <c r="H30" s="15" t="inlineStr"/>
      <c r="I30" s="15" t="inlineStr">
        <is>
          <t>Pendiente</t>
        </is>
      </c>
      <c r="J30" s="15" t="inlineStr">
        <is>
          <t>Media</t>
        </is>
      </c>
      <c r="K30" s="16" t="inlineStr"/>
      <c r="L30" s="16" t="inlineStr"/>
    </row>
    <row r="31">
      <c r="A31" s="15" t="inlineStr">
        <is>
          <t>GLOB-030</t>
        </is>
      </c>
      <c r="B31" s="16" t="inlineStr">
        <is>
          <t>Global / Transversal</t>
        </is>
      </c>
      <c r="C31" s="16" t="inlineStr">
        <is>
          <t>Diseño</t>
        </is>
      </c>
      <c r="D31" s="16" t="inlineStr">
        <is>
          <t>Estados hover/focus/active/disabled de botones y links</t>
        </is>
      </c>
      <c r="E31" s="15" t="inlineStr">
        <is>
          <t>Diseño</t>
        </is>
      </c>
      <c r="F31" s="15" t="inlineStr">
        <is>
          <t>Desktop</t>
        </is>
      </c>
      <c r="G31" s="16" t="inlineStr">
        <is>
          <t>Todos los estados se ven correctos</t>
        </is>
      </c>
      <c r="H31" s="15" t="inlineStr"/>
      <c r="I31" s="15" t="inlineStr">
        <is>
          <t>Pendiente</t>
        </is>
      </c>
      <c r="J31" s="15" t="inlineStr">
        <is>
          <t>Media</t>
        </is>
      </c>
      <c r="K31" s="16" t="inlineStr"/>
      <c r="L31" s="16" t="inlineStr"/>
    </row>
    <row r="32">
      <c r="A32" s="15" t="inlineStr">
        <is>
          <t>GLOB-031</t>
        </is>
      </c>
      <c r="B32" s="16" t="inlineStr">
        <is>
          <t>Global / Transversal</t>
        </is>
      </c>
      <c r="C32" s="16" t="inlineStr">
        <is>
          <t>Diseño</t>
        </is>
      </c>
      <c r="D32" s="16" t="inlineStr">
        <is>
          <t>Estados hover/focus/active/disabled de botones y links</t>
        </is>
      </c>
      <c r="E32" s="15" t="inlineStr">
        <is>
          <t>Diseño</t>
        </is>
      </c>
      <c r="F32" s="15" t="inlineStr">
        <is>
          <t>Tablet</t>
        </is>
      </c>
      <c r="G32" s="16" t="inlineStr">
        <is>
          <t>Todos los estados se ven correctos</t>
        </is>
      </c>
      <c r="H32" s="15" t="inlineStr"/>
      <c r="I32" s="15" t="inlineStr">
        <is>
          <t>Pendiente</t>
        </is>
      </c>
      <c r="J32" s="15" t="inlineStr">
        <is>
          <t>Media</t>
        </is>
      </c>
      <c r="K32" s="16" t="inlineStr"/>
      <c r="L32" s="16" t="inlineStr"/>
    </row>
    <row r="33">
      <c r="A33" s="15" t="inlineStr">
        <is>
          <t>GLOB-032</t>
        </is>
      </c>
      <c r="B33" s="16" t="inlineStr">
        <is>
          <t>Global / Transversal</t>
        </is>
      </c>
      <c r="C33" s="16" t="inlineStr">
        <is>
          <t>Diseño</t>
        </is>
      </c>
      <c r="D33" s="16" t="inlineStr">
        <is>
          <t>Estados hover/focus/active/disabled de botones y links</t>
        </is>
      </c>
      <c r="E33" s="15" t="inlineStr">
        <is>
          <t>Diseño</t>
        </is>
      </c>
      <c r="F33" s="15" t="inlineStr">
        <is>
          <t>Mobile</t>
        </is>
      </c>
      <c r="G33" s="16" t="inlineStr">
        <is>
          <t>Todos los estados se ven correctos</t>
        </is>
      </c>
      <c r="H33" s="15" t="inlineStr"/>
      <c r="I33" s="15" t="inlineStr">
        <is>
          <t>Pendiente</t>
        </is>
      </c>
      <c r="J33" s="15" t="inlineStr">
        <is>
          <t>Media</t>
        </is>
      </c>
      <c r="K33" s="16" t="inlineStr"/>
      <c r="L33" s="16" t="inlineStr"/>
    </row>
    <row r="34">
      <c r="A34" s="15" t="inlineStr">
        <is>
          <t>GLOB-033</t>
        </is>
      </c>
      <c r="B34" s="16" t="inlineStr">
        <is>
          <t>Global / Transversal</t>
        </is>
      </c>
      <c r="C34" s="16" t="inlineStr">
        <is>
          <t>Diseño</t>
        </is>
      </c>
      <c r="D34" s="16" t="inlineStr">
        <is>
          <t>Touch targets &gt;=44px; inputs a 16px (no zoom iOS)</t>
        </is>
      </c>
      <c r="E34" s="15" t="inlineStr">
        <is>
          <t>Diseño</t>
        </is>
      </c>
      <c r="F34" s="15" t="inlineStr">
        <is>
          <t>Desktop</t>
        </is>
      </c>
      <c r="G34" s="16" t="inlineStr">
        <is>
          <t>Botones tappeables; inputs no hacen zoom en iOS</t>
        </is>
      </c>
      <c r="H34" s="15" t="inlineStr"/>
      <c r="I34" s="15" t="inlineStr">
        <is>
          <t>Pendiente</t>
        </is>
      </c>
      <c r="J34" s="15" t="inlineStr">
        <is>
          <t>Media</t>
        </is>
      </c>
      <c r="K34" s="16" t="inlineStr"/>
      <c r="L34" s="16" t="inlineStr"/>
    </row>
    <row r="35">
      <c r="A35" s="15" t="inlineStr">
        <is>
          <t>GLOB-034</t>
        </is>
      </c>
      <c r="B35" s="16" t="inlineStr">
        <is>
          <t>Global / Transversal</t>
        </is>
      </c>
      <c r="C35" s="16" t="inlineStr">
        <is>
          <t>Diseño</t>
        </is>
      </c>
      <c r="D35" s="16" t="inlineStr">
        <is>
          <t>Touch targets &gt;=44px; inputs a 16px (no zoom iOS)</t>
        </is>
      </c>
      <c r="E35" s="15" t="inlineStr">
        <is>
          <t>Diseño</t>
        </is>
      </c>
      <c r="F35" s="15" t="inlineStr">
        <is>
          <t>Tablet</t>
        </is>
      </c>
      <c r="G35" s="16" t="inlineStr">
        <is>
          <t>Botones tappeables; inputs no hacen zoom en iOS</t>
        </is>
      </c>
      <c r="H35" s="15" t="inlineStr"/>
      <c r="I35" s="15" t="inlineStr">
        <is>
          <t>Pendiente</t>
        </is>
      </c>
      <c r="J35" s="15" t="inlineStr">
        <is>
          <t>Media</t>
        </is>
      </c>
      <c r="K35" s="16" t="inlineStr"/>
      <c r="L35" s="16" t="inlineStr"/>
    </row>
    <row r="36">
      <c r="A36" s="15" t="inlineStr">
        <is>
          <t>GLOB-035</t>
        </is>
      </c>
      <c r="B36" s="16" t="inlineStr">
        <is>
          <t>Global / Transversal</t>
        </is>
      </c>
      <c r="C36" s="16" t="inlineStr">
        <is>
          <t>Diseño</t>
        </is>
      </c>
      <c r="D36" s="16" t="inlineStr">
        <is>
          <t>Touch targets &gt;=44px; inputs a 16px (no zoom iOS)</t>
        </is>
      </c>
      <c r="E36" s="15" t="inlineStr">
        <is>
          <t>Diseño</t>
        </is>
      </c>
      <c r="F36" s="15" t="inlineStr">
        <is>
          <t>Mobile</t>
        </is>
      </c>
      <c r="G36" s="16" t="inlineStr">
        <is>
          <t>Botones tappeables; inputs no hacen zoom en iOS</t>
        </is>
      </c>
      <c r="H36" s="15" t="inlineStr"/>
      <c r="I36" s="15" t="inlineStr">
        <is>
          <t>Pendiente</t>
        </is>
      </c>
      <c r="J36" s="15" t="inlineStr">
        <is>
          <t>Media</t>
        </is>
      </c>
      <c r="K36" s="16" t="inlineStr"/>
      <c r="L36" s="16" t="inlineStr"/>
    </row>
    <row r="37">
      <c r="A37" s="15" t="inlineStr">
        <is>
          <t>GLOB-036</t>
        </is>
      </c>
      <c r="B37" s="16" t="inlineStr">
        <is>
          <t>Global / Transversal</t>
        </is>
      </c>
      <c r="C37" s="16" t="inlineStr">
        <is>
          <t>Accesibilidad</t>
        </is>
      </c>
      <c r="D37" s="16" t="inlineStr">
        <is>
          <t>Alt en imágenes, foco visible, contraste AA, skip link</t>
        </is>
      </c>
      <c r="E37" s="15" t="inlineStr">
        <is>
          <t>Funcional</t>
        </is>
      </c>
      <c r="F37" s="15" t="inlineStr">
        <is>
          <t>—</t>
        </is>
      </c>
      <c r="G37" s="16" t="inlineStr">
        <is>
          <t>Cumple chequeos básicos de accesibilidad</t>
        </is>
      </c>
      <c r="H37" s="15" t="inlineStr"/>
      <c r="I37" s="15" t="inlineStr">
        <is>
          <t>Pendiente</t>
        </is>
      </c>
      <c r="J37" s="15" t="inlineStr">
        <is>
          <t>Media</t>
        </is>
      </c>
      <c r="K37" s="16" t="inlineStr"/>
      <c r="L37" s="16" t="inlineStr"/>
    </row>
    <row r="38">
      <c r="A38" s="15" t="inlineStr">
        <is>
          <t>GLOB-037</t>
        </is>
      </c>
      <c r="B38" s="16" t="inlineStr">
        <is>
          <t>Global / Transversal</t>
        </is>
      </c>
      <c r="C38" s="16" t="inlineStr">
        <is>
          <t>Accesibilidad</t>
        </is>
      </c>
      <c r="D38" s="16" t="inlineStr">
        <is>
          <t>prefers-reduced-motion respeta animaciones; teclado</t>
        </is>
      </c>
      <c r="E38" s="15" t="inlineStr">
        <is>
          <t>Funcional</t>
        </is>
      </c>
      <c r="F38" s="15" t="inlineStr">
        <is>
          <t>—</t>
        </is>
      </c>
      <c r="G38" s="16" t="inlineStr">
        <is>
          <t>Animaciones se reducen; navegación por teclado completa</t>
        </is>
      </c>
      <c r="H38" s="15" t="inlineStr"/>
      <c r="I38" s="15" t="inlineStr">
        <is>
          <t>Pendiente</t>
        </is>
      </c>
      <c r="J38" s="15" t="inlineStr">
        <is>
          <t>Baja</t>
        </is>
      </c>
      <c r="K38" s="16" t="inlineStr"/>
      <c r="L38" s="16" t="inlineStr"/>
    </row>
    <row r="39">
      <c r="A39" s="15" t="inlineStr">
        <is>
          <t>GLOB-038</t>
        </is>
      </c>
      <c r="B39" s="16" t="inlineStr">
        <is>
          <t>Global / Transversal</t>
        </is>
      </c>
      <c r="C39" s="16" t="inlineStr">
        <is>
          <t>Técnico</t>
        </is>
      </c>
      <c r="D39" s="16" t="inlineStr">
        <is>
          <t>HTTPS en todo, sin mixed content, sin errores en consola</t>
        </is>
      </c>
      <c r="E39" s="15" t="inlineStr">
        <is>
          <t>Integración</t>
        </is>
      </c>
      <c r="F39" s="15" t="inlineStr">
        <is>
          <t>—</t>
        </is>
      </c>
      <c r="G39" s="16" t="inlineStr">
        <is>
          <t>Candado verde; consola limpia</t>
        </is>
      </c>
      <c r="H39" s="15" t="inlineStr"/>
      <c r="I39" s="15" t="inlineStr">
        <is>
          <t>Pendiente</t>
        </is>
      </c>
      <c r="J39" s="15" t="inlineStr">
        <is>
          <t>Alta</t>
        </is>
      </c>
      <c r="K39" s="16" t="inlineStr"/>
      <c r="L39" s="16" t="inlineStr"/>
    </row>
    <row r="40">
      <c r="A40" s="15" t="inlineStr">
        <is>
          <t>GLOB-039</t>
        </is>
      </c>
      <c r="B40" s="16" t="inlineStr">
        <is>
          <t>Global / Transversal</t>
        </is>
      </c>
      <c r="C40" s="16" t="inlineStr">
        <is>
          <t>Técnico</t>
        </is>
      </c>
      <c r="D40" s="16" t="inlineStr">
        <is>
          <t>Lazy-load de imágenes; sin layout shift (CLS); peso ok</t>
        </is>
      </c>
      <c r="E40" s="15" t="inlineStr">
        <is>
          <t>Diseño</t>
        </is>
      </c>
      <c r="F40" s="15" t="inlineStr">
        <is>
          <t>—</t>
        </is>
      </c>
      <c r="G40" s="16" t="inlineStr">
        <is>
          <t>Carga progresiva sin saltos</t>
        </is>
      </c>
      <c r="H40" s="15" t="inlineStr"/>
      <c r="I40" s="15" t="inlineStr">
        <is>
          <t>Pendiente</t>
        </is>
      </c>
      <c r="J40" s="15" t="inlineStr">
        <is>
          <t>Media</t>
        </is>
      </c>
      <c r="K40" s="16" t="inlineStr"/>
      <c r="L40" s="16" t="inlineStr"/>
    </row>
    <row r="41">
      <c r="A41" s="15" t="inlineStr">
        <is>
          <t>GLOB-040</t>
        </is>
      </c>
      <c r="B41" s="16" t="inlineStr">
        <is>
          <t>Global / Transversal</t>
        </is>
      </c>
      <c r="C41" s="16" t="inlineStr">
        <is>
          <t>Analytics</t>
        </is>
      </c>
      <c r="D41" s="16" t="inlineStr">
        <is>
          <t>GTM dispara y eventos ecommerce (view_item, add_to_cart, begin_checkout, purchase)</t>
        </is>
      </c>
      <c r="E41" s="15" t="inlineStr">
        <is>
          <t>Integración</t>
        </is>
      </c>
      <c r="F41" s="15" t="inlineStr">
        <is>
          <t>—</t>
        </is>
      </c>
      <c r="G41" s="16" t="inlineStr">
        <is>
          <t>Eventos llegan con valores y moneda correctos</t>
        </is>
      </c>
      <c r="H41" s="15" t="inlineStr"/>
      <c r="I41" s="15" t="inlineStr">
        <is>
          <t>Pendiente</t>
        </is>
      </c>
      <c r="J41" s="15" t="inlineStr">
        <is>
          <t>Alta</t>
        </is>
      </c>
      <c r="K41" s="16" t="inlineStr"/>
      <c r="L41" s="16" t="inlineStr"/>
    </row>
    <row r="42">
      <c r="A42" s="15" t="inlineStr">
        <is>
          <t>HOME-001</t>
        </is>
      </c>
      <c r="B42" s="16" t="inlineStr">
        <is>
          <t>Home</t>
        </is>
      </c>
      <c r="C42" s="16" t="inlineStr">
        <is>
          <t>Hero</t>
        </is>
      </c>
      <c r="D42" s="16" t="inlineStr">
        <is>
          <t>Contenido: título, subtítulo, descripción (text-shadow), chips</t>
        </is>
      </c>
      <c r="E42" s="15" t="inlineStr">
        <is>
          <t>Contenido</t>
        </is>
      </c>
      <c r="F42" s="15" t="inlineStr">
        <is>
          <t>Desktop</t>
        </is>
      </c>
      <c r="G42" s="16" t="inlineStr">
        <is>
          <t>Textos correctos y legibles</t>
        </is>
      </c>
      <c r="H42" s="15" t="inlineStr"/>
      <c r="I42" s="15" t="inlineStr">
        <is>
          <t>Pendiente</t>
        </is>
      </c>
      <c r="J42" s="15" t="inlineStr">
        <is>
          <t>Media</t>
        </is>
      </c>
      <c r="K42" s="16" t="inlineStr"/>
      <c r="L42" s="16" t="inlineStr"/>
    </row>
    <row r="43">
      <c r="A43" s="15" t="inlineStr">
        <is>
          <t>HOME-002</t>
        </is>
      </c>
      <c r="B43" s="16" t="inlineStr">
        <is>
          <t>Home</t>
        </is>
      </c>
      <c r="C43" s="16" t="inlineStr">
        <is>
          <t>Hero</t>
        </is>
      </c>
      <c r="D43" s="16" t="inlineStr">
        <is>
          <t>Contenido: título, subtítulo, descripción (text-shadow), chips</t>
        </is>
      </c>
      <c r="E43" s="15" t="inlineStr">
        <is>
          <t>Contenido</t>
        </is>
      </c>
      <c r="F43" s="15" t="inlineStr">
        <is>
          <t>Tablet</t>
        </is>
      </c>
      <c r="G43" s="16" t="inlineStr">
        <is>
          <t>Textos correctos y legibles</t>
        </is>
      </c>
      <c r="H43" s="15" t="inlineStr"/>
      <c r="I43" s="15" t="inlineStr">
        <is>
          <t>Pendiente</t>
        </is>
      </c>
      <c r="J43" s="15" t="inlineStr">
        <is>
          <t>Media</t>
        </is>
      </c>
      <c r="K43" s="16" t="inlineStr"/>
      <c r="L43" s="16" t="inlineStr"/>
    </row>
    <row r="44">
      <c r="A44" s="15" t="inlineStr">
        <is>
          <t>HOME-003</t>
        </is>
      </c>
      <c r="B44" s="16" t="inlineStr">
        <is>
          <t>Home</t>
        </is>
      </c>
      <c r="C44" s="16" t="inlineStr">
        <is>
          <t>Hero</t>
        </is>
      </c>
      <c r="D44" s="16" t="inlineStr">
        <is>
          <t>Contenido: título, subtítulo, descripción (text-shadow), chips</t>
        </is>
      </c>
      <c r="E44" s="15" t="inlineStr">
        <is>
          <t>Contenido</t>
        </is>
      </c>
      <c r="F44" s="15" t="inlineStr">
        <is>
          <t>Mobile</t>
        </is>
      </c>
      <c r="G44" s="16" t="inlineStr">
        <is>
          <t>Textos correctos y legibles</t>
        </is>
      </c>
      <c r="H44" s="15" t="inlineStr"/>
      <c r="I44" s="15" t="inlineStr">
        <is>
          <t>Pendiente</t>
        </is>
      </c>
      <c r="J44" s="15" t="inlineStr">
        <is>
          <t>Media</t>
        </is>
      </c>
      <c r="K44" s="16" t="inlineStr"/>
      <c r="L44" s="16" t="inlineStr"/>
    </row>
    <row r="45">
      <c r="A45" s="15" t="inlineStr">
        <is>
          <t>HOME-004</t>
        </is>
      </c>
      <c r="B45" s="16" t="inlineStr">
        <is>
          <t>Home</t>
        </is>
      </c>
      <c r="C45" s="16" t="inlineStr">
        <is>
          <t>Hero</t>
        </is>
      </c>
      <c r="D45" s="16" t="inlineStr">
        <is>
          <t>CTA 'Comprar café' con efecto e ícono café, linkea a tienda</t>
        </is>
      </c>
      <c r="E45" s="15" t="inlineStr">
        <is>
          <t>Funcional</t>
        </is>
      </c>
      <c r="F45" s="15" t="inlineStr">
        <is>
          <t>Desktop</t>
        </is>
      </c>
      <c r="G45" s="16" t="inlineStr">
        <is>
          <t>El botón funciona y se ve el efecto</t>
        </is>
      </c>
      <c r="H45" s="15" t="inlineStr"/>
      <c r="I45" s="15" t="inlineStr">
        <is>
          <t>Pendiente</t>
        </is>
      </c>
      <c r="J45" s="15" t="inlineStr">
        <is>
          <t>Media</t>
        </is>
      </c>
      <c r="K45" s="16" t="inlineStr"/>
      <c r="L45" s="16" t="inlineStr"/>
    </row>
    <row r="46">
      <c r="A46" s="15" t="inlineStr">
        <is>
          <t>HOME-005</t>
        </is>
      </c>
      <c r="B46" s="16" t="inlineStr">
        <is>
          <t>Home</t>
        </is>
      </c>
      <c r="C46" s="16" t="inlineStr">
        <is>
          <t>Hero</t>
        </is>
      </c>
      <c r="D46" s="16" t="inlineStr">
        <is>
          <t>CTA 'Comprar café' con efecto e ícono café, linkea a tienda</t>
        </is>
      </c>
      <c r="E46" s="15" t="inlineStr">
        <is>
          <t>Funcional</t>
        </is>
      </c>
      <c r="F46" s="15" t="inlineStr">
        <is>
          <t>Tablet</t>
        </is>
      </c>
      <c r="G46" s="16" t="inlineStr">
        <is>
          <t>El botón funciona y se ve el efecto</t>
        </is>
      </c>
      <c r="H46" s="15" t="inlineStr"/>
      <c r="I46" s="15" t="inlineStr">
        <is>
          <t>Pendiente</t>
        </is>
      </c>
      <c r="J46" s="15" t="inlineStr">
        <is>
          <t>Media</t>
        </is>
      </c>
      <c r="K46" s="16" t="inlineStr"/>
      <c r="L46" s="16" t="inlineStr"/>
    </row>
    <row r="47">
      <c r="A47" s="15" t="inlineStr">
        <is>
          <t>HOME-006</t>
        </is>
      </c>
      <c r="B47" s="16" t="inlineStr">
        <is>
          <t>Home</t>
        </is>
      </c>
      <c r="C47" s="16" t="inlineStr">
        <is>
          <t>Hero</t>
        </is>
      </c>
      <c r="D47" s="16" t="inlineStr">
        <is>
          <t>CTA 'Comprar café' con efecto e ícono café, linkea a tienda</t>
        </is>
      </c>
      <c r="E47" s="15" t="inlineStr">
        <is>
          <t>Funcional</t>
        </is>
      </c>
      <c r="F47" s="15" t="inlineStr">
        <is>
          <t>Mobile</t>
        </is>
      </c>
      <c r="G47" s="16" t="inlineStr">
        <is>
          <t>El botón funciona y se ve el efecto</t>
        </is>
      </c>
      <c r="H47" s="15" t="inlineStr"/>
      <c r="I47" s="15" t="inlineStr">
        <is>
          <t>Pendiente</t>
        </is>
      </c>
      <c r="J47" s="15" t="inlineStr">
        <is>
          <t>Media</t>
        </is>
      </c>
      <c r="K47" s="16" t="inlineStr"/>
      <c r="L47" s="16" t="inlineStr"/>
    </row>
    <row r="48">
      <c r="A48" s="15" t="inlineStr">
        <is>
          <t>HOME-007</t>
        </is>
      </c>
      <c r="B48" s="16" t="inlineStr">
        <is>
          <t>Home</t>
        </is>
      </c>
      <c r="C48" s="16" t="inlineStr">
        <is>
          <t>Hero</t>
        </is>
      </c>
      <c r="D48" s="16" t="inlineStr">
        <is>
          <t>Imagen de fondo + overlay; mobile background-position 48%</t>
        </is>
      </c>
      <c r="E48" s="15" t="inlineStr">
        <is>
          <t>Diseño</t>
        </is>
      </c>
      <c r="F48" s="15" t="inlineStr">
        <is>
          <t>Desktop</t>
        </is>
      </c>
      <c r="G48" s="16" t="inlineStr">
        <is>
          <t>Composición correcta; en mobile el overlay plano</t>
        </is>
      </c>
      <c r="H48" s="15" t="inlineStr"/>
      <c r="I48" s="15" t="inlineStr">
        <is>
          <t>Pendiente</t>
        </is>
      </c>
      <c r="J48" s="15" t="inlineStr">
        <is>
          <t>Media</t>
        </is>
      </c>
      <c r="K48" s="16" t="inlineStr"/>
      <c r="L48" s="16" t="inlineStr"/>
    </row>
    <row r="49">
      <c r="A49" s="15" t="inlineStr">
        <is>
          <t>HOME-008</t>
        </is>
      </c>
      <c r="B49" s="16" t="inlineStr">
        <is>
          <t>Home</t>
        </is>
      </c>
      <c r="C49" s="16" t="inlineStr">
        <is>
          <t>Hero</t>
        </is>
      </c>
      <c r="D49" s="16" t="inlineStr">
        <is>
          <t>Imagen de fondo + overlay; mobile background-position 48%</t>
        </is>
      </c>
      <c r="E49" s="15" t="inlineStr">
        <is>
          <t>Diseño</t>
        </is>
      </c>
      <c r="F49" s="15" t="inlineStr">
        <is>
          <t>Tablet</t>
        </is>
      </c>
      <c r="G49" s="16" t="inlineStr">
        <is>
          <t>Composición correcta; en mobile el overlay plano</t>
        </is>
      </c>
      <c r="H49" s="15" t="inlineStr"/>
      <c r="I49" s="15" t="inlineStr">
        <is>
          <t>Pendiente</t>
        </is>
      </c>
      <c r="J49" s="15" t="inlineStr">
        <is>
          <t>Media</t>
        </is>
      </c>
      <c r="K49" s="16" t="inlineStr"/>
      <c r="L49" s="16" t="inlineStr"/>
    </row>
    <row r="50">
      <c r="A50" s="15" t="inlineStr">
        <is>
          <t>HOME-009</t>
        </is>
      </c>
      <c r="B50" s="16" t="inlineStr">
        <is>
          <t>Home</t>
        </is>
      </c>
      <c r="C50" s="16" t="inlineStr">
        <is>
          <t>Hero</t>
        </is>
      </c>
      <c r="D50" s="16" t="inlineStr">
        <is>
          <t>Imagen de fondo + overlay; mobile background-position 48%</t>
        </is>
      </c>
      <c r="E50" s="15" t="inlineStr">
        <is>
          <t>Diseño</t>
        </is>
      </c>
      <c r="F50" s="15" t="inlineStr">
        <is>
          <t>Mobile</t>
        </is>
      </c>
      <c r="G50" s="16" t="inlineStr">
        <is>
          <t>Composición correcta; en mobile el overlay plano</t>
        </is>
      </c>
      <c r="H50" s="15" t="inlineStr"/>
      <c r="I50" s="15" t="inlineStr">
        <is>
          <t>Pendiente</t>
        </is>
      </c>
      <c r="J50" s="15" t="inlineStr">
        <is>
          <t>Media</t>
        </is>
      </c>
      <c r="K50" s="16" t="inlineStr"/>
      <c r="L50" s="16" t="inlineStr"/>
    </row>
    <row r="51">
      <c r="A51" s="15" t="inlineStr">
        <is>
          <t>HOME-010</t>
        </is>
      </c>
      <c r="B51" s="16" t="inlineStr">
        <is>
          <t>Home</t>
        </is>
      </c>
      <c r="C51" s="16" t="inlineStr">
        <is>
          <t>Info bajo header</t>
        </is>
      </c>
      <c r="D51" s="16" t="inlineStr">
        <is>
          <t>Contenido y propuestas de valor correctos</t>
        </is>
      </c>
      <c r="E51" s="15" t="inlineStr">
        <is>
          <t>Contenido</t>
        </is>
      </c>
      <c r="F51" s="15" t="inlineStr">
        <is>
          <t>Desktop</t>
        </is>
      </c>
      <c r="G51" s="16" t="inlineStr">
        <is>
          <t>Textos/íconos correctos y alineados</t>
        </is>
      </c>
      <c r="H51" s="15" t="inlineStr"/>
      <c r="I51" s="15" t="inlineStr">
        <is>
          <t>Pendiente</t>
        </is>
      </c>
      <c r="J51" s="15" t="inlineStr">
        <is>
          <t>Baja</t>
        </is>
      </c>
      <c r="K51" s="16" t="inlineStr"/>
      <c r="L51" s="16" t="inlineStr"/>
    </row>
    <row r="52">
      <c r="A52" s="15" t="inlineStr">
        <is>
          <t>HOME-011</t>
        </is>
      </c>
      <c r="B52" s="16" t="inlineStr">
        <is>
          <t>Home</t>
        </is>
      </c>
      <c r="C52" s="16" t="inlineStr">
        <is>
          <t>Info bajo header</t>
        </is>
      </c>
      <c r="D52" s="16" t="inlineStr">
        <is>
          <t>Contenido y propuestas de valor correctos</t>
        </is>
      </c>
      <c r="E52" s="15" t="inlineStr">
        <is>
          <t>Contenido</t>
        </is>
      </c>
      <c r="F52" s="15" t="inlineStr">
        <is>
          <t>Tablet</t>
        </is>
      </c>
      <c r="G52" s="16" t="inlineStr">
        <is>
          <t>Textos/íconos correctos y alineados</t>
        </is>
      </c>
      <c r="H52" s="15" t="inlineStr"/>
      <c r="I52" s="15" t="inlineStr">
        <is>
          <t>Pendiente</t>
        </is>
      </c>
      <c r="J52" s="15" t="inlineStr">
        <is>
          <t>Baja</t>
        </is>
      </c>
      <c r="K52" s="16" t="inlineStr"/>
      <c r="L52" s="16" t="inlineStr"/>
    </row>
    <row r="53">
      <c r="A53" s="15" t="inlineStr">
        <is>
          <t>HOME-012</t>
        </is>
      </c>
      <c r="B53" s="16" t="inlineStr">
        <is>
          <t>Home</t>
        </is>
      </c>
      <c r="C53" s="16" t="inlineStr">
        <is>
          <t>Info bajo header</t>
        </is>
      </c>
      <c r="D53" s="16" t="inlineStr">
        <is>
          <t>Contenido y propuestas de valor correctos</t>
        </is>
      </c>
      <c r="E53" s="15" t="inlineStr">
        <is>
          <t>Contenido</t>
        </is>
      </c>
      <c r="F53" s="15" t="inlineStr">
        <is>
          <t>Mobile</t>
        </is>
      </c>
      <c r="G53" s="16" t="inlineStr">
        <is>
          <t>Textos/íconos correctos y alineados</t>
        </is>
      </c>
      <c r="H53" s="15" t="inlineStr"/>
      <c r="I53" s="15" t="inlineStr">
        <is>
          <t>Pendiente</t>
        </is>
      </c>
      <c r="J53" s="15" t="inlineStr">
        <is>
          <t>Baja</t>
        </is>
      </c>
      <c r="K53" s="16" t="inlineStr"/>
      <c r="L53" s="16" t="inlineStr"/>
    </row>
    <row r="54">
      <c r="A54" s="15" t="inlineStr">
        <is>
          <t>HOME-013</t>
        </is>
      </c>
      <c r="B54" s="16" t="inlineStr">
        <is>
          <t>Home</t>
        </is>
      </c>
      <c r="C54" s="16" t="inlineStr">
        <is>
          <t>Pasarela productos</t>
        </is>
      </c>
      <c r="D54" s="16" t="inlineStr">
        <is>
          <t>Orden de productos correcto y aparecen los 8</t>
        </is>
      </c>
      <c r="E54" s="15" t="inlineStr">
        <is>
          <t>Contenido</t>
        </is>
      </c>
      <c r="F54" s="15" t="inlineStr">
        <is>
          <t>—</t>
        </is>
      </c>
      <c r="G54" s="16" t="inlineStr">
        <is>
          <t>El orden y la cantidad son los esperados</t>
        </is>
      </c>
      <c r="H54" s="15" t="inlineStr"/>
      <c r="I54" s="15" t="inlineStr">
        <is>
          <t>Pendiente</t>
        </is>
      </c>
      <c r="J54" s="15" t="inlineStr">
        <is>
          <t>Alta</t>
        </is>
      </c>
      <c r="K54" s="16" t="inlineStr"/>
      <c r="L54" s="16" t="inlineStr"/>
    </row>
    <row r="55">
      <c r="A55" s="15" t="inlineStr">
        <is>
          <t>HOME-014</t>
        </is>
      </c>
      <c r="B55" s="16" t="inlineStr">
        <is>
          <t>Home</t>
        </is>
      </c>
      <c r="C55" s="16" t="inlineStr">
        <is>
          <t>Pasarela productos</t>
        </is>
      </c>
      <c r="D55" s="16" t="inlineStr">
        <is>
          <t>Imágenes, precios y badges (SCA, bandera origen)</t>
        </is>
      </c>
      <c r="E55" s="15" t="inlineStr">
        <is>
          <t>Diseño</t>
        </is>
      </c>
      <c r="F55" s="15" t="inlineStr">
        <is>
          <t>Desktop</t>
        </is>
      </c>
      <c r="G55" s="16" t="inlineStr">
        <is>
          <t>Datos visuales correctos por producto</t>
        </is>
      </c>
      <c r="H55" s="15" t="inlineStr"/>
      <c r="I55" s="15" t="inlineStr">
        <is>
          <t>Pendiente</t>
        </is>
      </c>
      <c r="J55" s="15" t="inlineStr">
        <is>
          <t>Media</t>
        </is>
      </c>
      <c r="K55" s="16" t="inlineStr"/>
      <c r="L55" s="16" t="inlineStr"/>
    </row>
    <row r="56">
      <c r="A56" s="15" t="inlineStr">
        <is>
          <t>HOME-015</t>
        </is>
      </c>
      <c r="B56" s="16" t="inlineStr">
        <is>
          <t>Home</t>
        </is>
      </c>
      <c r="C56" s="16" t="inlineStr">
        <is>
          <t>Pasarela productos</t>
        </is>
      </c>
      <c r="D56" s="16" t="inlineStr">
        <is>
          <t>Imágenes, precios y badges (SCA, bandera origen)</t>
        </is>
      </c>
      <c r="E56" s="15" t="inlineStr">
        <is>
          <t>Diseño</t>
        </is>
      </c>
      <c r="F56" s="15" t="inlineStr">
        <is>
          <t>Tablet</t>
        </is>
      </c>
      <c r="G56" s="16" t="inlineStr">
        <is>
          <t>Datos visuales correctos por producto</t>
        </is>
      </c>
      <c r="H56" s="15" t="inlineStr"/>
      <c r="I56" s="15" t="inlineStr">
        <is>
          <t>Pendiente</t>
        </is>
      </c>
      <c r="J56" s="15" t="inlineStr">
        <is>
          <t>Media</t>
        </is>
      </c>
      <c r="K56" s="16" t="inlineStr"/>
      <c r="L56" s="16" t="inlineStr"/>
    </row>
    <row r="57">
      <c r="A57" s="15" t="inlineStr">
        <is>
          <t>HOME-016</t>
        </is>
      </c>
      <c r="B57" s="16" t="inlineStr">
        <is>
          <t>Home</t>
        </is>
      </c>
      <c r="C57" s="16" t="inlineStr">
        <is>
          <t>Pasarela productos</t>
        </is>
      </c>
      <c r="D57" s="16" t="inlineStr">
        <is>
          <t>Imágenes, precios y badges (SCA, bandera origen)</t>
        </is>
      </c>
      <c r="E57" s="15" t="inlineStr">
        <is>
          <t>Diseño</t>
        </is>
      </c>
      <c r="F57" s="15" t="inlineStr">
        <is>
          <t>Mobile</t>
        </is>
      </c>
      <c r="G57" s="16" t="inlineStr">
        <is>
          <t>Datos visuales correctos por producto</t>
        </is>
      </c>
      <c r="H57" s="15" t="inlineStr"/>
      <c r="I57" s="15" t="inlineStr">
        <is>
          <t>Pendiente</t>
        </is>
      </c>
      <c r="J57" s="15" t="inlineStr">
        <is>
          <t>Media</t>
        </is>
      </c>
      <c r="K57" s="16" t="inlineStr"/>
      <c r="L57" s="16" t="inlineStr"/>
    </row>
    <row r="58">
      <c r="A58" s="15" t="inlineStr">
        <is>
          <t>HOME-017</t>
        </is>
      </c>
      <c r="B58" s="16" t="inlineStr">
        <is>
          <t>Home</t>
        </is>
      </c>
      <c r="C58" s="16" t="inlineStr">
        <is>
          <t>Pasarela productos</t>
        </is>
      </c>
      <c r="D58" s="16" t="inlineStr">
        <is>
          <t>Add-to-cart desde tarjeta con peso/molienda por defecto</t>
        </is>
      </c>
      <c r="E58" s="15" t="inlineStr">
        <is>
          <t>Funcional</t>
        </is>
      </c>
      <c r="F58" s="15" t="inlineStr">
        <is>
          <t>—</t>
        </is>
      </c>
      <c r="G58" s="16" t="inlineStr">
        <is>
          <t>Agrega correctamente al carrito</t>
        </is>
      </c>
      <c r="H58" s="15" t="inlineStr"/>
      <c r="I58" s="15" t="inlineStr">
        <is>
          <t>Pendiente</t>
        </is>
      </c>
      <c r="J58" s="15" t="inlineStr">
        <is>
          <t>Alta</t>
        </is>
      </c>
      <c r="K58" s="16" t="inlineStr"/>
      <c r="L58" s="16" t="inlineStr"/>
    </row>
    <row r="59">
      <c r="A59" s="15" t="inlineStr">
        <is>
          <t>HOME-018</t>
        </is>
      </c>
      <c r="B59" s="16" t="inlineStr">
        <is>
          <t>Home</t>
        </is>
      </c>
      <c r="C59" s="16" t="inlineStr">
        <is>
          <t>Pasarela productos</t>
        </is>
      </c>
      <c r="D59" s="16" t="inlineStr">
        <is>
          <t>Estado SIN STOCK deshabilita el botón</t>
        </is>
      </c>
      <c r="E59" s="15" t="inlineStr">
        <is>
          <t>Borde</t>
        </is>
      </c>
      <c r="F59" s="15" t="inlineStr">
        <is>
          <t>—</t>
        </is>
      </c>
      <c r="G59" s="16" t="inlineStr">
        <is>
          <t>Botón deshabilitado y mensaje cuando no hay stock</t>
        </is>
      </c>
      <c r="H59" s="15" t="inlineStr"/>
      <c r="I59" s="15" t="inlineStr">
        <is>
          <t>Pendiente</t>
        </is>
      </c>
      <c r="J59" s="15" t="inlineStr">
        <is>
          <t>Alta</t>
        </is>
      </c>
      <c r="K59" s="16" t="inlineStr"/>
      <c r="L59" s="16" t="inlineStr"/>
    </row>
    <row r="60">
      <c r="A60" s="15" t="inlineStr">
        <is>
          <t>HOME-019</t>
        </is>
      </c>
      <c r="B60" s="16" t="inlineStr">
        <is>
          <t>Home</t>
        </is>
      </c>
      <c r="C60" s="16" t="inlineStr">
        <is>
          <t>Sobre Nosotros</t>
        </is>
      </c>
      <c r="D60" s="16" t="inlineStr">
        <is>
          <t>Contenido e imágenes correctos y responsive</t>
        </is>
      </c>
      <c r="E60" s="15" t="inlineStr">
        <is>
          <t>Contenido</t>
        </is>
      </c>
      <c r="F60" s="15" t="inlineStr">
        <is>
          <t>Desktop</t>
        </is>
      </c>
      <c r="G60" s="16" t="inlineStr">
        <is>
          <t>Textos e imágenes ok</t>
        </is>
      </c>
      <c r="H60" s="15" t="inlineStr"/>
      <c r="I60" s="15" t="inlineStr">
        <is>
          <t>Pendiente</t>
        </is>
      </c>
      <c r="J60" s="15" t="inlineStr">
        <is>
          <t>Baja</t>
        </is>
      </c>
      <c r="K60" s="16" t="inlineStr"/>
      <c r="L60" s="16" t="inlineStr"/>
    </row>
    <row r="61">
      <c r="A61" s="15" t="inlineStr">
        <is>
          <t>HOME-020</t>
        </is>
      </c>
      <c r="B61" s="16" t="inlineStr">
        <is>
          <t>Home</t>
        </is>
      </c>
      <c r="C61" s="16" t="inlineStr">
        <is>
          <t>Sobre Nosotros</t>
        </is>
      </c>
      <c r="D61" s="16" t="inlineStr">
        <is>
          <t>Contenido e imágenes correctos y responsive</t>
        </is>
      </c>
      <c r="E61" s="15" t="inlineStr">
        <is>
          <t>Contenido</t>
        </is>
      </c>
      <c r="F61" s="15" t="inlineStr">
        <is>
          <t>Tablet</t>
        </is>
      </c>
      <c r="G61" s="16" t="inlineStr">
        <is>
          <t>Textos e imágenes ok</t>
        </is>
      </c>
      <c r="H61" s="15" t="inlineStr"/>
      <c r="I61" s="15" t="inlineStr">
        <is>
          <t>Pendiente</t>
        </is>
      </c>
      <c r="J61" s="15" t="inlineStr">
        <is>
          <t>Baja</t>
        </is>
      </c>
      <c r="K61" s="16" t="inlineStr"/>
      <c r="L61" s="16" t="inlineStr"/>
    </row>
    <row r="62">
      <c r="A62" s="15" t="inlineStr">
        <is>
          <t>HOME-021</t>
        </is>
      </c>
      <c r="B62" s="16" t="inlineStr">
        <is>
          <t>Home</t>
        </is>
      </c>
      <c r="C62" s="16" t="inlineStr">
        <is>
          <t>Sobre Nosotros</t>
        </is>
      </c>
      <c r="D62" s="16" t="inlineStr">
        <is>
          <t>Contenido e imágenes correctos y responsive</t>
        </is>
      </c>
      <c r="E62" s="15" t="inlineStr">
        <is>
          <t>Contenido</t>
        </is>
      </c>
      <c r="F62" s="15" t="inlineStr">
        <is>
          <t>Mobile</t>
        </is>
      </c>
      <c r="G62" s="16" t="inlineStr">
        <is>
          <t>Textos e imágenes ok</t>
        </is>
      </c>
      <c r="H62" s="15" t="inlineStr"/>
      <c r="I62" s="15" t="inlineStr">
        <is>
          <t>Pendiente</t>
        </is>
      </c>
      <c r="J62" s="15" t="inlineStr">
        <is>
          <t>Baja</t>
        </is>
      </c>
      <c r="K62" s="16" t="inlineStr"/>
      <c r="L62" s="16" t="inlineStr"/>
    </row>
    <row r="63">
      <c r="A63" s="15" t="inlineStr">
        <is>
          <t>HOME-022</t>
        </is>
      </c>
      <c r="B63" s="16" t="inlineStr">
        <is>
          <t>Home</t>
        </is>
      </c>
      <c r="C63" s="16" t="inlineStr">
        <is>
          <t>Contacto</t>
        </is>
      </c>
      <c r="D63" s="16" t="inlineStr">
        <is>
          <t>Datos: email hola@, WhatsApp (wa.me), Instagram</t>
        </is>
      </c>
      <c r="E63" s="15" t="inlineStr">
        <is>
          <t>Contenido</t>
        </is>
      </c>
      <c r="F63" s="15" t="inlineStr">
        <is>
          <t>Desktop</t>
        </is>
      </c>
      <c r="G63" s="16" t="inlineStr">
        <is>
          <t>Links de contacto correctos</t>
        </is>
      </c>
      <c r="H63" s="15" t="inlineStr"/>
      <c r="I63" s="15" t="inlineStr">
        <is>
          <t>Pendiente</t>
        </is>
      </c>
      <c r="J63" s="15" t="inlineStr">
        <is>
          <t>Media</t>
        </is>
      </c>
      <c r="K63" s="16" t="inlineStr"/>
      <c r="L63" s="16" t="inlineStr"/>
    </row>
    <row r="64">
      <c r="A64" s="15" t="inlineStr">
        <is>
          <t>HOME-023</t>
        </is>
      </c>
      <c r="B64" s="16" t="inlineStr">
        <is>
          <t>Home</t>
        </is>
      </c>
      <c r="C64" s="16" t="inlineStr">
        <is>
          <t>Contacto</t>
        </is>
      </c>
      <c r="D64" s="16" t="inlineStr">
        <is>
          <t>Datos: email hola@, WhatsApp (wa.me), Instagram</t>
        </is>
      </c>
      <c r="E64" s="15" t="inlineStr">
        <is>
          <t>Contenido</t>
        </is>
      </c>
      <c r="F64" s="15" t="inlineStr">
        <is>
          <t>Tablet</t>
        </is>
      </c>
      <c r="G64" s="16" t="inlineStr">
        <is>
          <t>Links de contacto correctos</t>
        </is>
      </c>
      <c r="H64" s="15" t="inlineStr"/>
      <c r="I64" s="15" t="inlineStr">
        <is>
          <t>Pendiente</t>
        </is>
      </c>
      <c r="J64" s="15" t="inlineStr">
        <is>
          <t>Media</t>
        </is>
      </c>
      <c r="K64" s="16" t="inlineStr"/>
      <c r="L64" s="16" t="inlineStr"/>
    </row>
    <row r="65">
      <c r="A65" s="15" t="inlineStr">
        <is>
          <t>HOME-024</t>
        </is>
      </c>
      <c r="B65" s="16" t="inlineStr">
        <is>
          <t>Home</t>
        </is>
      </c>
      <c r="C65" s="16" t="inlineStr">
        <is>
          <t>Contacto</t>
        </is>
      </c>
      <c r="D65" s="16" t="inlineStr">
        <is>
          <t>Datos: email hola@, WhatsApp (wa.me), Instagram</t>
        </is>
      </c>
      <c r="E65" s="15" t="inlineStr">
        <is>
          <t>Contenido</t>
        </is>
      </c>
      <c r="F65" s="15" t="inlineStr">
        <is>
          <t>Mobile</t>
        </is>
      </c>
      <c r="G65" s="16" t="inlineStr">
        <is>
          <t>Links de contacto correctos</t>
        </is>
      </c>
      <c r="H65" s="15" t="inlineStr"/>
      <c r="I65" s="15" t="inlineStr">
        <is>
          <t>Pendiente</t>
        </is>
      </c>
      <c r="J65" s="15" t="inlineStr">
        <is>
          <t>Media</t>
        </is>
      </c>
      <c r="K65" s="16" t="inlineStr"/>
      <c r="L65" s="16" t="inlineStr"/>
    </row>
    <row r="66">
      <c r="A66" s="15" t="inlineStr">
        <is>
          <t>HOME-025</t>
        </is>
      </c>
      <c r="B66" s="16" t="inlineStr">
        <is>
          <t>Home</t>
        </is>
      </c>
      <c r="C66" s="16" t="inlineStr">
        <is>
          <t>Contacto</t>
        </is>
      </c>
      <c r="D66" s="16" t="inlineStr">
        <is>
          <t>Form: validación required/email y honeypot</t>
        </is>
      </c>
      <c r="E66" s="15" t="inlineStr">
        <is>
          <t>Funcional</t>
        </is>
      </c>
      <c r="F66" s="15" t="inlineStr">
        <is>
          <t>—</t>
        </is>
      </c>
      <c r="G66" s="16" t="inlineStr">
        <is>
          <t>Valida campos; el honeypot frena bots</t>
        </is>
      </c>
      <c r="H66" s="15" t="inlineStr"/>
      <c r="I66" s="15" t="inlineStr">
        <is>
          <t>Pendiente</t>
        </is>
      </c>
      <c r="J66" s="15" t="inlineStr">
        <is>
          <t>Alta</t>
        </is>
      </c>
      <c r="K66" s="16" t="inlineStr"/>
      <c r="L66" s="16" t="inlineStr"/>
    </row>
    <row r="67">
      <c r="A67" s="15" t="inlineStr">
        <is>
          <t>HOME-026</t>
        </is>
      </c>
      <c r="B67" s="16" t="inlineStr">
        <is>
          <t>Home</t>
        </is>
      </c>
      <c r="C67" s="16" t="inlineStr">
        <is>
          <t>Contacto</t>
        </is>
      </c>
      <c r="D67" s="16" t="inlineStr">
        <is>
          <t>Enviar -&gt; email al admin (Reply-To del cliente)</t>
        </is>
      </c>
      <c r="E67" s="15" t="inlineStr">
        <is>
          <t>Integración</t>
        </is>
      </c>
      <c r="F67" s="15" t="inlineStr">
        <is>
          <t>—</t>
        </is>
      </c>
      <c r="G67" s="16" t="inlineStr">
        <is>
          <t>Llega el aviso al admin con los datos correctos</t>
        </is>
      </c>
      <c r="H67" s="15" t="inlineStr"/>
      <c r="I67" s="15" t="inlineStr">
        <is>
          <t>Pendiente</t>
        </is>
      </c>
      <c r="J67" s="15" t="inlineStr">
        <is>
          <t>Alta</t>
        </is>
      </c>
      <c r="K67" s="16" t="inlineStr"/>
      <c r="L67" s="16" t="inlineStr"/>
    </row>
    <row r="68">
      <c r="A68" s="15" t="inlineStr">
        <is>
          <t>HOME-027</t>
        </is>
      </c>
      <c r="B68" s="16" t="inlineStr">
        <is>
          <t>Home</t>
        </is>
      </c>
      <c r="C68" s="16" t="inlineStr">
        <is>
          <t>Contacto</t>
        </is>
      </c>
      <c r="D68" s="16" t="inlineStr">
        <is>
          <t>Enviar -&gt; email de confirmación al cliente (From no-reply@)</t>
        </is>
      </c>
      <c r="E68" s="15" t="inlineStr">
        <is>
          <t>Integración</t>
        </is>
      </c>
      <c r="F68" s="15" t="inlineStr">
        <is>
          <t>—</t>
        </is>
      </c>
      <c r="G68" s="16" t="inlineStr">
        <is>
          <t>Llega la confirmación al cliente</t>
        </is>
      </c>
      <c r="H68" s="15" t="inlineStr"/>
      <c r="I68" s="15" t="inlineStr">
        <is>
          <t>Pendiente</t>
        </is>
      </c>
      <c r="J68" s="15" t="inlineStr">
        <is>
          <t>Alta</t>
        </is>
      </c>
      <c r="K68" s="16" t="inlineStr"/>
      <c r="L68" s="16" t="inlineStr"/>
    </row>
    <row r="69">
      <c r="A69" s="15" t="inlineStr">
        <is>
          <t>HOME-028</t>
        </is>
      </c>
      <c r="B69" s="16" t="inlineStr">
        <is>
          <t>Home</t>
        </is>
      </c>
      <c r="C69" s="16" t="inlineStr">
        <is>
          <t>Contacto</t>
        </is>
      </c>
      <c r="D69" s="16" t="inlineStr">
        <is>
          <t>Estado de éxito y de error (toast); no doble submit</t>
        </is>
      </c>
      <c r="E69" s="15" t="inlineStr">
        <is>
          <t>Funcional</t>
        </is>
      </c>
      <c r="F69" s="15" t="inlineStr">
        <is>
          <t>—</t>
        </is>
      </c>
      <c r="G69" s="16" t="inlineStr">
        <is>
          <t>Muestra éxito; error con toast; sin doble envío</t>
        </is>
      </c>
      <c r="H69" s="15" t="inlineStr"/>
      <c r="I69" s="15" t="inlineStr">
        <is>
          <t>Pendiente</t>
        </is>
      </c>
      <c r="J69" s="15" t="inlineStr">
        <is>
          <t>Media</t>
        </is>
      </c>
      <c r="K69" s="16" t="inlineStr"/>
      <c r="L69" s="16" t="inlineStr"/>
    </row>
    <row r="70">
      <c r="A70" s="15" t="inlineStr">
        <is>
          <t>HOME-029</t>
        </is>
      </c>
      <c r="B70" s="16" t="inlineStr">
        <is>
          <t>Home</t>
        </is>
      </c>
      <c r="C70" s="16" t="inlineStr">
        <is>
          <t>Contacto</t>
        </is>
      </c>
      <c r="D70" s="16" t="inlineStr">
        <is>
          <t>Borde: mensaje largo, caracteres especiales, email inválido</t>
        </is>
      </c>
      <c r="E70" s="15" t="inlineStr">
        <is>
          <t>Borde</t>
        </is>
      </c>
      <c r="F70" s="15" t="inlineStr">
        <is>
          <t>—</t>
        </is>
      </c>
      <c r="G70" s="16" t="inlineStr">
        <is>
          <t>Maneja entradas extremas sin romper</t>
        </is>
      </c>
      <c r="H70" s="15" t="inlineStr"/>
      <c r="I70" s="15" t="inlineStr">
        <is>
          <t>Pendiente</t>
        </is>
      </c>
      <c r="J70" s="15" t="inlineStr">
        <is>
          <t>Media</t>
        </is>
      </c>
      <c r="K70" s="16" t="inlineStr"/>
      <c r="L70" s="16" t="inlineStr"/>
    </row>
    <row r="71">
      <c r="A71" s="15" t="inlineStr">
        <is>
          <t>HOME-030</t>
        </is>
      </c>
      <c r="B71" s="16" t="inlineStr">
        <is>
          <t>Home</t>
        </is>
      </c>
      <c r="C71" s="16" t="inlineStr">
        <is>
          <t>Reviews</t>
        </is>
      </c>
      <c r="D71" s="16" t="inlineStr">
        <is>
          <t>Contenido y layout del panel</t>
        </is>
      </c>
      <c r="E71" s="15" t="inlineStr">
        <is>
          <t>Contenido</t>
        </is>
      </c>
      <c r="F71" s="15" t="inlineStr">
        <is>
          <t>Desktop</t>
        </is>
      </c>
      <c r="G71" s="16" t="inlineStr">
        <is>
          <t>Reviews se ven correctas</t>
        </is>
      </c>
      <c r="H71" s="15" t="inlineStr"/>
      <c r="I71" s="15" t="inlineStr">
        <is>
          <t>Pendiente</t>
        </is>
      </c>
      <c r="J71" s="15" t="inlineStr">
        <is>
          <t>Baja</t>
        </is>
      </c>
      <c r="K71" s="16" t="inlineStr"/>
      <c r="L71" s="16" t="inlineStr"/>
    </row>
    <row r="72">
      <c r="A72" s="15" t="inlineStr">
        <is>
          <t>HOME-031</t>
        </is>
      </c>
      <c r="B72" s="16" t="inlineStr">
        <is>
          <t>Home</t>
        </is>
      </c>
      <c r="C72" s="16" t="inlineStr">
        <is>
          <t>Reviews</t>
        </is>
      </c>
      <c r="D72" s="16" t="inlineStr">
        <is>
          <t>Contenido y layout del panel</t>
        </is>
      </c>
      <c r="E72" s="15" t="inlineStr">
        <is>
          <t>Contenido</t>
        </is>
      </c>
      <c r="F72" s="15" t="inlineStr">
        <is>
          <t>Tablet</t>
        </is>
      </c>
      <c r="G72" s="16" t="inlineStr">
        <is>
          <t>Reviews se ven correctas</t>
        </is>
      </c>
      <c r="H72" s="15" t="inlineStr"/>
      <c r="I72" s="15" t="inlineStr">
        <is>
          <t>Pendiente</t>
        </is>
      </c>
      <c r="J72" s="15" t="inlineStr">
        <is>
          <t>Baja</t>
        </is>
      </c>
      <c r="K72" s="16" t="inlineStr"/>
      <c r="L72" s="16" t="inlineStr"/>
    </row>
    <row r="73">
      <c r="A73" s="15" t="inlineStr">
        <is>
          <t>HOME-032</t>
        </is>
      </c>
      <c r="B73" s="16" t="inlineStr">
        <is>
          <t>Home</t>
        </is>
      </c>
      <c r="C73" s="16" t="inlineStr">
        <is>
          <t>Reviews</t>
        </is>
      </c>
      <c r="D73" s="16" t="inlineStr">
        <is>
          <t>Contenido y layout del panel</t>
        </is>
      </c>
      <c r="E73" s="15" t="inlineStr">
        <is>
          <t>Contenido</t>
        </is>
      </c>
      <c r="F73" s="15" t="inlineStr">
        <is>
          <t>Mobile</t>
        </is>
      </c>
      <c r="G73" s="16" t="inlineStr">
        <is>
          <t>Reviews se ven correctas</t>
        </is>
      </c>
      <c r="H73" s="15" t="inlineStr"/>
      <c r="I73" s="15" t="inlineStr">
        <is>
          <t>Pendiente</t>
        </is>
      </c>
      <c r="J73" s="15" t="inlineStr">
        <is>
          <t>Baja</t>
        </is>
      </c>
      <c r="K73" s="16" t="inlineStr"/>
      <c r="L73" s="16" t="inlineStr"/>
    </row>
    <row r="74">
      <c r="A74" s="15" t="inlineStr">
        <is>
          <t>HOME-033</t>
        </is>
      </c>
      <c r="B74" s="16" t="inlineStr">
        <is>
          <t>Home</t>
        </is>
      </c>
      <c r="C74" s="16" t="inlineStr">
        <is>
          <t>Guías</t>
        </is>
      </c>
      <c r="D74" s="16" t="inlineStr">
        <is>
          <t>Tarjetas y links a cada guía</t>
        </is>
      </c>
      <c r="E74" s="15" t="inlineStr">
        <is>
          <t>Funcional</t>
        </is>
      </c>
      <c r="F74" s="15" t="inlineStr">
        <is>
          <t>Desktop</t>
        </is>
      </c>
      <c r="G74" s="16" t="inlineStr">
        <is>
          <t>Cada guía abre correctamente</t>
        </is>
      </c>
      <c r="H74" s="15" t="inlineStr"/>
      <c r="I74" s="15" t="inlineStr">
        <is>
          <t>Pendiente</t>
        </is>
      </c>
      <c r="J74" s="15" t="inlineStr">
        <is>
          <t>Baja</t>
        </is>
      </c>
      <c r="K74" s="16" t="inlineStr"/>
      <c r="L74" s="16" t="inlineStr"/>
    </row>
    <row r="75">
      <c r="A75" s="15" t="inlineStr">
        <is>
          <t>HOME-034</t>
        </is>
      </c>
      <c r="B75" s="16" t="inlineStr">
        <is>
          <t>Home</t>
        </is>
      </c>
      <c r="C75" s="16" t="inlineStr">
        <is>
          <t>Guías</t>
        </is>
      </c>
      <c r="D75" s="16" t="inlineStr">
        <is>
          <t>Tarjetas y links a cada guía</t>
        </is>
      </c>
      <c r="E75" s="15" t="inlineStr">
        <is>
          <t>Funcional</t>
        </is>
      </c>
      <c r="F75" s="15" t="inlineStr">
        <is>
          <t>Tablet</t>
        </is>
      </c>
      <c r="G75" s="16" t="inlineStr">
        <is>
          <t>Cada guía abre correctamente</t>
        </is>
      </c>
      <c r="H75" s="15" t="inlineStr"/>
      <c r="I75" s="15" t="inlineStr">
        <is>
          <t>Pendiente</t>
        </is>
      </c>
      <c r="J75" s="15" t="inlineStr">
        <is>
          <t>Baja</t>
        </is>
      </c>
      <c r="K75" s="16" t="inlineStr"/>
      <c r="L75" s="16" t="inlineStr"/>
    </row>
    <row r="76">
      <c r="A76" s="15" t="inlineStr">
        <is>
          <t>HOME-035</t>
        </is>
      </c>
      <c r="B76" s="16" t="inlineStr">
        <is>
          <t>Home</t>
        </is>
      </c>
      <c r="C76" s="16" t="inlineStr">
        <is>
          <t>Guías</t>
        </is>
      </c>
      <c r="D76" s="16" t="inlineStr">
        <is>
          <t>Tarjetas y links a cada guía</t>
        </is>
      </c>
      <c r="E76" s="15" t="inlineStr">
        <is>
          <t>Funcional</t>
        </is>
      </c>
      <c r="F76" s="15" t="inlineStr">
        <is>
          <t>Mobile</t>
        </is>
      </c>
      <c r="G76" s="16" t="inlineStr">
        <is>
          <t>Cada guía abre correctamente</t>
        </is>
      </c>
      <c r="H76" s="15" t="inlineStr"/>
      <c r="I76" s="15" t="inlineStr">
        <is>
          <t>Pendiente</t>
        </is>
      </c>
      <c r="J76" s="15" t="inlineStr">
        <is>
          <t>Baja</t>
        </is>
      </c>
      <c r="K76" s="16" t="inlineStr"/>
      <c r="L76" s="16" t="inlineStr"/>
    </row>
    <row r="77">
      <c r="A77" s="15" t="inlineStr">
        <is>
          <t>CAT-001</t>
        </is>
      </c>
      <c r="B77" s="16" t="inlineStr">
        <is>
          <t>Catálogo / Tienda</t>
        </is>
      </c>
      <c r="C77" s="16" t="inlineStr">
        <is>
          <t>Tienda</t>
        </is>
      </c>
      <c r="D77" s="16" t="inlineStr">
        <is>
          <t>Grilla con todos los productos, precios y badges</t>
        </is>
      </c>
      <c r="E77" s="15" t="inlineStr">
        <is>
          <t>Contenido</t>
        </is>
      </c>
      <c r="F77" s="15" t="inlineStr">
        <is>
          <t>Desktop</t>
        </is>
      </c>
      <c r="G77" s="16" t="inlineStr">
        <is>
          <t>Catálogo completo y correcto</t>
        </is>
      </c>
      <c r="H77" s="15" t="inlineStr"/>
      <c r="I77" s="15" t="inlineStr">
        <is>
          <t>Pendiente</t>
        </is>
      </c>
      <c r="J77" s="15" t="inlineStr">
        <is>
          <t>Alta</t>
        </is>
      </c>
      <c r="K77" s="16" t="inlineStr"/>
      <c r="L77" s="16" t="inlineStr"/>
    </row>
    <row r="78">
      <c r="A78" s="15" t="inlineStr">
        <is>
          <t>CAT-002</t>
        </is>
      </c>
      <c r="B78" s="16" t="inlineStr">
        <is>
          <t>Catálogo / Tienda</t>
        </is>
      </c>
      <c r="C78" s="16" t="inlineStr">
        <is>
          <t>Tienda</t>
        </is>
      </c>
      <c r="D78" s="16" t="inlineStr">
        <is>
          <t>Grilla con todos los productos, precios y badges</t>
        </is>
      </c>
      <c r="E78" s="15" t="inlineStr">
        <is>
          <t>Contenido</t>
        </is>
      </c>
      <c r="F78" s="15" t="inlineStr">
        <is>
          <t>Tablet</t>
        </is>
      </c>
      <c r="G78" s="16" t="inlineStr">
        <is>
          <t>Catálogo completo y correcto</t>
        </is>
      </c>
      <c r="H78" s="15" t="inlineStr"/>
      <c r="I78" s="15" t="inlineStr">
        <is>
          <t>Pendiente</t>
        </is>
      </c>
      <c r="J78" s="15" t="inlineStr">
        <is>
          <t>Alta</t>
        </is>
      </c>
      <c r="K78" s="16" t="inlineStr"/>
      <c r="L78" s="16" t="inlineStr"/>
    </row>
    <row r="79">
      <c r="A79" s="15" t="inlineStr">
        <is>
          <t>CAT-003</t>
        </is>
      </c>
      <c r="B79" s="16" t="inlineStr">
        <is>
          <t>Catálogo / Tienda</t>
        </is>
      </c>
      <c r="C79" s="16" t="inlineStr">
        <is>
          <t>Tienda</t>
        </is>
      </c>
      <c r="D79" s="16" t="inlineStr">
        <is>
          <t>Grilla con todos los productos, precios y badges</t>
        </is>
      </c>
      <c r="E79" s="15" t="inlineStr">
        <is>
          <t>Contenido</t>
        </is>
      </c>
      <c r="F79" s="15" t="inlineStr">
        <is>
          <t>Mobile</t>
        </is>
      </c>
      <c r="G79" s="16" t="inlineStr">
        <is>
          <t>Catálogo completo y correcto</t>
        </is>
      </c>
      <c r="H79" s="15" t="inlineStr"/>
      <c r="I79" s="15" t="inlineStr">
        <is>
          <t>Pendiente</t>
        </is>
      </c>
      <c r="J79" s="15" t="inlineStr">
        <is>
          <t>Alta</t>
        </is>
      </c>
      <c r="K79" s="16" t="inlineStr"/>
      <c r="L79" s="16" t="inlineStr"/>
    </row>
    <row r="80">
      <c r="A80" s="15" t="inlineStr">
        <is>
          <t>CAT-004</t>
        </is>
      </c>
      <c r="B80" s="16" t="inlineStr">
        <is>
          <t>Catálogo / Tienda</t>
        </is>
      </c>
      <c r="C80" s="16" t="inlineStr">
        <is>
          <t>Tienda</t>
        </is>
      </c>
      <c r="D80" s="16" t="inlineStr">
        <is>
          <t>Orden/sorting y filtros (si hay); paginación; breadcrumb</t>
        </is>
      </c>
      <c r="E80" s="15" t="inlineStr">
        <is>
          <t>Funcional</t>
        </is>
      </c>
      <c r="F80" s="15" t="inlineStr">
        <is>
          <t>—</t>
        </is>
      </c>
      <c r="G80" s="16" t="inlineStr">
        <is>
          <t>Navegación del catálogo funciona</t>
        </is>
      </c>
      <c r="H80" s="15" t="inlineStr"/>
      <c r="I80" s="15" t="inlineStr">
        <is>
          <t>Pendiente</t>
        </is>
      </c>
      <c r="J80" s="15" t="inlineStr">
        <is>
          <t>Media</t>
        </is>
      </c>
      <c r="K80" s="16" t="inlineStr"/>
      <c r="L80" s="16" t="inlineStr"/>
    </row>
    <row r="81">
      <c r="A81" s="15" t="inlineStr">
        <is>
          <t>CAT-005</t>
        </is>
      </c>
      <c r="B81" s="16" t="inlineStr">
        <is>
          <t>Catálogo / Tienda</t>
        </is>
      </c>
      <c r="C81" s="16" t="inlineStr">
        <is>
          <t>Tienda</t>
        </is>
      </c>
      <c r="D81" s="16" t="inlineStr">
        <is>
          <t>Estados: sin stock, en oferta; 'sin resultados' en búsqueda</t>
        </is>
      </c>
      <c r="E81" s="15" t="inlineStr">
        <is>
          <t>Borde</t>
        </is>
      </c>
      <c r="F81" s="15" t="inlineStr">
        <is>
          <t>—</t>
        </is>
      </c>
      <c r="G81" s="16" t="inlineStr">
        <is>
          <t>Estados especiales se muestran bien</t>
        </is>
      </c>
      <c r="H81" s="15" t="inlineStr"/>
      <c r="I81" s="15" t="inlineStr">
        <is>
          <t>Pendiente</t>
        </is>
      </c>
      <c r="J81" s="15" t="inlineStr">
        <is>
          <t>Media</t>
        </is>
      </c>
      <c r="K81" s="16" t="inlineStr"/>
      <c r="L81" s="16" t="inlineStr"/>
    </row>
    <row r="82">
      <c r="A82" s="15" t="inlineStr">
        <is>
          <t>CAT-006</t>
        </is>
      </c>
      <c r="B82" s="16" t="inlineStr">
        <is>
          <t>Catálogo / Tienda</t>
        </is>
      </c>
      <c r="C82" s="16" t="inlineStr">
        <is>
          <t>Tienda</t>
        </is>
      </c>
      <c r="D82" s="16" t="inlineStr">
        <is>
          <t>Add-to-cart desde la grilla</t>
        </is>
      </c>
      <c r="E82" s="15" t="inlineStr">
        <is>
          <t>Funcional</t>
        </is>
      </c>
      <c r="F82" s="15" t="inlineStr">
        <is>
          <t>—</t>
        </is>
      </c>
      <c r="G82" s="16" t="inlineStr">
        <is>
          <t>Agrega al carrito desde el listado</t>
        </is>
      </c>
      <c r="H82" s="15" t="inlineStr"/>
      <c r="I82" s="15" t="inlineStr">
        <is>
          <t>Pendiente</t>
        </is>
      </c>
      <c r="J82" s="15" t="inlineStr">
        <is>
          <t>Alta</t>
        </is>
      </c>
      <c r="K82" s="16" t="inlineStr"/>
      <c r="L82" s="16" t="inlineStr"/>
    </row>
    <row r="83">
      <c r="A83" s="15" t="inlineStr">
        <is>
          <t>PROD-001</t>
        </is>
      </c>
      <c r="B83" s="16" t="inlineStr">
        <is>
          <t>Ficha de producto</t>
        </is>
      </c>
      <c r="C83" s="16" t="inlineStr">
        <is>
          <t>Ficha</t>
        </is>
      </c>
      <c r="D83" s="16" t="inlineStr">
        <is>
          <t>Contenido: nombre, precio 250g y 1kg, origen, proceso, SCA</t>
        </is>
      </c>
      <c r="E83" s="15" t="inlineStr">
        <is>
          <t>Contenido</t>
        </is>
      </c>
      <c r="F83" s="15" t="inlineStr">
        <is>
          <t>—</t>
        </is>
      </c>
      <c r="G83" s="16" t="inlineStr">
        <is>
          <t>Datos del producto correctos</t>
        </is>
      </c>
      <c r="H83" s="15" t="inlineStr"/>
      <c r="I83" s="15" t="inlineStr">
        <is>
          <t>Pendiente</t>
        </is>
      </c>
      <c r="J83" s="15" t="inlineStr">
        <is>
          <t>Alta</t>
        </is>
      </c>
      <c r="K83" s="16" t="inlineStr"/>
      <c r="L83" s="16" t="inlineStr"/>
    </row>
    <row r="84">
      <c r="A84" s="15" t="inlineStr">
        <is>
          <t>PROD-002</t>
        </is>
      </c>
      <c r="B84" s="16" t="inlineStr">
        <is>
          <t>Ficha de producto</t>
        </is>
      </c>
      <c r="C84" s="16" t="inlineStr">
        <is>
          <t>Ficha</t>
        </is>
      </c>
      <c r="D84" s="16" t="inlineStr">
        <is>
          <t>Notas de cata / perfil (intensidad, acidez, cuerpo) y descripción</t>
        </is>
      </c>
      <c r="E84" s="15" t="inlineStr">
        <is>
          <t>Contenido</t>
        </is>
      </c>
      <c r="F84" s="15" t="inlineStr">
        <is>
          <t>—</t>
        </is>
      </c>
      <c r="G84" s="16" t="inlineStr">
        <is>
          <t>Perfil y descripción correctos</t>
        </is>
      </c>
      <c r="H84" s="15" t="inlineStr"/>
      <c r="I84" s="15" t="inlineStr">
        <is>
          <t>Pendiente</t>
        </is>
      </c>
      <c r="J84" s="15" t="inlineStr">
        <is>
          <t>Media</t>
        </is>
      </c>
      <c r="K84" s="16" t="inlineStr"/>
      <c r="L84" s="16" t="inlineStr"/>
    </row>
    <row r="85">
      <c r="A85" s="15" t="inlineStr">
        <is>
          <t>PROD-003</t>
        </is>
      </c>
      <c r="B85" s="16" t="inlineStr">
        <is>
          <t>Ficha de producto</t>
        </is>
      </c>
      <c r="C85" s="16" t="inlineStr">
        <is>
          <t>Ficha</t>
        </is>
      </c>
      <c r="D85" s="16" t="inlineStr">
        <is>
          <t>Imagen/galería con dimensiones correctas (sin salto)</t>
        </is>
      </c>
      <c r="E85" s="15" t="inlineStr">
        <is>
          <t>Diseño</t>
        </is>
      </c>
      <c r="F85" s="15" t="inlineStr">
        <is>
          <t>Desktop</t>
        </is>
      </c>
      <c r="G85" s="16" t="inlineStr">
        <is>
          <t>Imagen estable, sin layout shift</t>
        </is>
      </c>
      <c r="H85" s="15" t="inlineStr"/>
      <c r="I85" s="15" t="inlineStr">
        <is>
          <t>Pendiente</t>
        </is>
      </c>
      <c r="J85" s="15" t="inlineStr">
        <is>
          <t>Media</t>
        </is>
      </c>
      <c r="K85" s="16" t="inlineStr"/>
      <c r="L85" s="16" t="inlineStr"/>
    </row>
    <row r="86">
      <c r="A86" s="15" t="inlineStr">
        <is>
          <t>PROD-004</t>
        </is>
      </c>
      <c r="B86" s="16" t="inlineStr">
        <is>
          <t>Ficha de producto</t>
        </is>
      </c>
      <c r="C86" s="16" t="inlineStr">
        <is>
          <t>Ficha</t>
        </is>
      </c>
      <c r="D86" s="16" t="inlineStr">
        <is>
          <t>Imagen/galería con dimensiones correctas (sin salto)</t>
        </is>
      </c>
      <c r="E86" s="15" t="inlineStr">
        <is>
          <t>Diseño</t>
        </is>
      </c>
      <c r="F86" s="15" t="inlineStr">
        <is>
          <t>Tablet</t>
        </is>
      </c>
      <c r="G86" s="16" t="inlineStr">
        <is>
          <t>Imagen estable, sin layout shift</t>
        </is>
      </c>
      <c r="H86" s="15" t="inlineStr"/>
      <c r="I86" s="15" t="inlineStr">
        <is>
          <t>Pendiente</t>
        </is>
      </c>
      <c r="J86" s="15" t="inlineStr">
        <is>
          <t>Media</t>
        </is>
      </c>
      <c r="K86" s="16" t="inlineStr"/>
      <c r="L86" s="16" t="inlineStr"/>
    </row>
    <row r="87">
      <c r="A87" s="15" t="inlineStr">
        <is>
          <t>PROD-005</t>
        </is>
      </c>
      <c r="B87" s="16" t="inlineStr">
        <is>
          <t>Ficha de producto</t>
        </is>
      </c>
      <c r="C87" s="16" t="inlineStr">
        <is>
          <t>Ficha</t>
        </is>
      </c>
      <c r="D87" s="16" t="inlineStr">
        <is>
          <t>Imagen/galería con dimensiones correctas (sin salto)</t>
        </is>
      </c>
      <c r="E87" s="15" t="inlineStr">
        <is>
          <t>Diseño</t>
        </is>
      </c>
      <c r="F87" s="15" t="inlineStr">
        <is>
          <t>Mobile</t>
        </is>
      </c>
      <c r="G87" s="16" t="inlineStr">
        <is>
          <t>Imagen estable, sin layout shift</t>
        </is>
      </c>
      <c r="H87" s="15" t="inlineStr"/>
      <c r="I87" s="15" t="inlineStr">
        <is>
          <t>Pendiente</t>
        </is>
      </c>
      <c r="J87" s="15" t="inlineStr">
        <is>
          <t>Media</t>
        </is>
      </c>
      <c r="K87" s="16" t="inlineStr"/>
      <c r="L87" s="16" t="inlineStr"/>
    </row>
    <row r="88">
      <c r="A88" s="15" t="inlineStr">
        <is>
          <t>PROD-006</t>
        </is>
      </c>
      <c r="B88" s="16" t="inlineStr">
        <is>
          <t>Ficha de producto</t>
        </is>
      </c>
      <c r="C88" s="16" t="inlineStr">
        <is>
          <t>Ficha</t>
        </is>
      </c>
      <c r="D88" s="16" t="inlineStr">
        <is>
          <t>Selector de peso (250g/1kg) cambia el precio</t>
        </is>
      </c>
      <c r="E88" s="15" t="inlineStr">
        <is>
          <t>Funcional</t>
        </is>
      </c>
      <c r="F88" s="15" t="inlineStr">
        <is>
          <t>—</t>
        </is>
      </c>
      <c r="G88" s="16" t="inlineStr">
        <is>
          <t>El precio cambia según la variación</t>
        </is>
      </c>
      <c r="H88" s="15" t="inlineStr"/>
      <c r="I88" s="15" t="inlineStr">
        <is>
          <t>Pendiente</t>
        </is>
      </c>
      <c r="J88" s="15" t="inlineStr">
        <is>
          <t>Alta</t>
        </is>
      </c>
      <c r="K88" s="16" t="inlineStr"/>
      <c r="L88" s="16" t="inlineStr"/>
    </row>
    <row r="89">
      <c r="A89" s="15" t="inlineStr">
        <is>
          <t>PROD-007</t>
        </is>
      </c>
      <c r="B89" s="16" t="inlineStr">
        <is>
          <t>Ficha de producto</t>
        </is>
      </c>
      <c r="C89" s="16" t="inlineStr">
        <is>
          <t>Ficha</t>
        </is>
      </c>
      <c r="D89" s="16" t="inlineStr">
        <is>
          <t>Selector de molienda pasa al carrito y al pedido</t>
        </is>
      </c>
      <c r="E89" s="15" t="inlineStr">
        <is>
          <t>Funcional</t>
        </is>
      </c>
      <c r="F89" s="15" t="inlineStr">
        <is>
          <t>—</t>
        </is>
      </c>
      <c r="G89" s="16" t="inlineStr">
        <is>
          <t>La molienda elegida llega al carrito/pedido</t>
        </is>
      </c>
      <c r="H89" s="15" t="inlineStr"/>
      <c r="I89" s="15" t="inlineStr">
        <is>
          <t>Pendiente</t>
        </is>
      </c>
      <c r="J89" s="15" t="inlineStr">
        <is>
          <t>Alta</t>
        </is>
      </c>
      <c r="K89" s="16" t="inlineStr"/>
      <c r="L89" s="16" t="inlineStr"/>
    </row>
    <row r="90">
      <c r="A90" s="15" t="inlineStr">
        <is>
          <t>PROD-008</t>
        </is>
      </c>
      <c r="B90" s="16" t="inlineStr">
        <is>
          <t>Ficha de producto</t>
        </is>
      </c>
      <c r="C90" s="16" t="inlineStr">
        <is>
          <t>Ficha</t>
        </is>
      </c>
      <c r="D90" s="16" t="inlineStr">
        <is>
          <t>Cantidad +/- con tope = stock disponible o 20</t>
        </is>
      </c>
      <c r="E90" s="15" t="inlineStr">
        <is>
          <t>Funcional</t>
        </is>
      </c>
      <c r="F90" s="15" t="inlineStr">
        <is>
          <t>—</t>
        </is>
      </c>
      <c r="G90" s="16" t="inlineStr">
        <is>
          <t>No deja superar stock ni 20 unidades</t>
        </is>
      </c>
      <c r="H90" s="15" t="inlineStr"/>
      <c r="I90" s="15" t="inlineStr">
        <is>
          <t>Pendiente</t>
        </is>
      </c>
      <c r="J90" s="15" t="inlineStr">
        <is>
          <t>Alta</t>
        </is>
      </c>
      <c r="K90" s="16" t="inlineStr"/>
      <c r="L90" s="16" t="inlineStr"/>
    </row>
    <row r="91">
      <c r="A91" s="15" t="inlineStr">
        <is>
          <t>PROD-009</t>
        </is>
      </c>
      <c r="B91" s="16" t="inlineStr">
        <is>
          <t>Ficha de producto</t>
        </is>
      </c>
      <c r="C91" s="16" t="inlineStr">
        <is>
          <t>Ficha</t>
        </is>
      </c>
      <c r="D91" s="16" t="inlineStr">
        <is>
          <t>SIN STOCK por variación (modelo gramos) deshabilita compra</t>
        </is>
      </c>
      <c r="E91" s="15" t="inlineStr">
        <is>
          <t>Borde</t>
        </is>
      </c>
      <c r="F91" s="15" t="inlineStr">
        <is>
          <t>—</t>
        </is>
      </c>
      <c r="G91" s="16" t="inlineStr">
        <is>
          <t>Botón deshabilitado con mensaje cuando no hay stock</t>
        </is>
      </c>
      <c r="H91" s="15" t="inlineStr"/>
      <c r="I91" s="15" t="inlineStr">
        <is>
          <t>Pendiente</t>
        </is>
      </c>
      <c r="J91" s="15" t="inlineStr">
        <is>
          <t>Alta</t>
        </is>
      </c>
      <c r="K91" s="16" t="inlineStr"/>
      <c r="L91" s="16" t="inlineStr"/>
    </row>
    <row r="92">
      <c r="A92" s="15" t="inlineStr">
        <is>
          <t>PROD-010</t>
        </is>
      </c>
      <c r="B92" s="16" t="inlineStr">
        <is>
          <t>Ficha de producto</t>
        </is>
      </c>
      <c r="C92" s="16" t="inlineStr">
        <is>
          <t>Ficha</t>
        </is>
      </c>
      <c r="D92" s="16" t="inlineStr">
        <is>
          <t>Reviews del producto / dejar reseña; relacionados; breadcrumb</t>
        </is>
      </c>
      <c r="E92" s="15" t="inlineStr">
        <is>
          <t>Funcional</t>
        </is>
      </c>
      <c r="F92" s="15" t="inlineStr">
        <is>
          <t>Desktop</t>
        </is>
      </c>
      <c r="G92" s="16" t="inlineStr">
        <is>
          <t>Funciona reseñar y navegar</t>
        </is>
      </c>
      <c r="H92" s="15" t="inlineStr"/>
      <c r="I92" s="15" t="inlineStr">
        <is>
          <t>Pendiente</t>
        </is>
      </c>
      <c r="J92" s="15" t="inlineStr">
        <is>
          <t>Baja</t>
        </is>
      </c>
      <c r="K92" s="16" t="inlineStr"/>
      <c r="L92" s="16" t="inlineStr"/>
    </row>
    <row r="93">
      <c r="A93" s="15" t="inlineStr">
        <is>
          <t>PROD-011</t>
        </is>
      </c>
      <c r="B93" s="16" t="inlineStr">
        <is>
          <t>Ficha de producto</t>
        </is>
      </c>
      <c r="C93" s="16" t="inlineStr">
        <is>
          <t>Ficha</t>
        </is>
      </c>
      <c r="D93" s="16" t="inlineStr">
        <is>
          <t>Reviews del producto / dejar reseña; relacionados; breadcrumb</t>
        </is>
      </c>
      <c r="E93" s="15" t="inlineStr">
        <is>
          <t>Funcional</t>
        </is>
      </c>
      <c r="F93" s="15" t="inlineStr">
        <is>
          <t>Tablet</t>
        </is>
      </c>
      <c r="G93" s="16" t="inlineStr">
        <is>
          <t>Funciona reseñar y navegar</t>
        </is>
      </c>
      <c r="H93" s="15" t="inlineStr"/>
      <c r="I93" s="15" t="inlineStr">
        <is>
          <t>Pendiente</t>
        </is>
      </c>
      <c r="J93" s="15" t="inlineStr">
        <is>
          <t>Baja</t>
        </is>
      </c>
      <c r="K93" s="16" t="inlineStr"/>
      <c r="L93" s="16" t="inlineStr"/>
    </row>
    <row r="94">
      <c r="A94" s="15" t="inlineStr">
        <is>
          <t>PROD-012</t>
        </is>
      </c>
      <c r="B94" s="16" t="inlineStr">
        <is>
          <t>Ficha de producto</t>
        </is>
      </c>
      <c r="C94" s="16" t="inlineStr">
        <is>
          <t>Ficha</t>
        </is>
      </c>
      <c r="D94" s="16" t="inlineStr">
        <is>
          <t>Reviews del producto / dejar reseña; relacionados; breadcrumb</t>
        </is>
      </c>
      <c r="E94" s="15" t="inlineStr">
        <is>
          <t>Funcional</t>
        </is>
      </c>
      <c r="F94" s="15" t="inlineStr">
        <is>
          <t>Mobile</t>
        </is>
      </c>
      <c r="G94" s="16" t="inlineStr">
        <is>
          <t>Funciona reseñar y navegar</t>
        </is>
      </c>
      <c r="H94" s="15" t="inlineStr"/>
      <c r="I94" s="15" t="inlineStr">
        <is>
          <t>Pendiente</t>
        </is>
      </c>
      <c r="J94" s="15" t="inlineStr">
        <is>
          <t>Baja</t>
        </is>
      </c>
      <c r="K94" s="16" t="inlineStr"/>
      <c r="L94" s="16" t="inlineStr"/>
    </row>
    <row r="95">
      <c r="A95" s="15" t="inlineStr">
        <is>
          <t>PROD-013</t>
        </is>
      </c>
      <c r="B95" s="16" t="inlineStr">
        <is>
          <t>Ficha de producto</t>
        </is>
      </c>
      <c r="C95" s="16" t="inlineStr">
        <is>
          <t>Ficha</t>
        </is>
      </c>
      <c r="D95" s="16" t="inlineStr">
        <is>
          <t>Borde: agregar misma combinación 2 veces; cambiar molienda y reagregar</t>
        </is>
      </c>
      <c r="E95" s="15" t="inlineStr">
        <is>
          <t>Borde</t>
        </is>
      </c>
      <c r="F95" s="15" t="inlineStr">
        <is>
          <t>—</t>
        </is>
      </c>
      <c r="G95" s="16" t="inlineStr">
        <is>
          <t>Suma cantidades o crea línea según corresponda</t>
        </is>
      </c>
      <c r="H95" s="15" t="inlineStr"/>
      <c r="I95" s="15" t="inlineStr">
        <is>
          <t>Pendiente</t>
        </is>
      </c>
      <c r="J95" s="15" t="inlineStr">
        <is>
          <t>Media</t>
        </is>
      </c>
      <c r="K95" s="16" t="inlineStr"/>
      <c r="L95" s="16" t="inlineStr"/>
    </row>
    <row r="96">
      <c r="A96" s="15" t="inlineStr">
        <is>
          <t>CART-001</t>
        </is>
      </c>
      <c r="B96" s="16" t="inlineStr">
        <is>
          <t>Carrito (drawer + página)</t>
        </is>
      </c>
      <c r="C96" s="16" t="inlineStr">
        <is>
          <t>Carrito</t>
        </is>
      </c>
      <c r="D96" s="16" t="inlineStr">
        <is>
          <t>Agregar y quitar productos</t>
        </is>
      </c>
      <c r="E96" s="15" t="inlineStr">
        <is>
          <t>Funcional</t>
        </is>
      </c>
      <c r="F96" s="15" t="inlineStr">
        <is>
          <t>—</t>
        </is>
      </c>
      <c r="G96" s="16" t="inlineStr">
        <is>
          <t>Agrega/quita correctamente</t>
        </is>
      </c>
      <c r="H96" s="15" t="inlineStr"/>
      <c r="I96" s="15" t="inlineStr">
        <is>
          <t>Pendiente</t>
        </is>
      </c>
      <c r="J96" s="15" t="inlineStr">
        <is>
          <t>Alta</t>
        </is>
      </c>
      <c r="K96" s="16" t="inlineStr"/>
      <c r="L96" s="16" t="inlineStr"/>
    </row>
    <row r="97">
      <c r="A97" s="15" t="inlineStr">
        <is>
          <t>CART-002</t>
        </is>
      </c>
      <c r="B97" s="16" t="inlineStr">
        <is>
          <t>Carrito (drawer + página)</t>
        </is>
      </c>
      <c r="C97" s="16" t="inlineStr">
        <is>
          <t>Carrito</t>
        </is>
      </c>
      <c r="D97" s="16" t="inlineStr">
        <is>
          <t>Qty +/- con tope = stock (gramos) o 20</t>
        </is>
      </c>
      <c r="E97" s="15" t="inlineStr">
        <is>
          <t>Funcional</t>
        </is>
      </c>
      <c r="F97" s="15" t="inlineStr">
        <is>
          <t>—</t>
        </is>
      </c>
      <c r="G97" s="16" t="inlineStr">
        <is>
          <t>Capa según stock; nunca &gt;20</t>
        </is>
      </c>
      <c r="H97" s="15" t="inlineStr"/>
      <c r="I97" s="15" t="inlineStr">
        <is>
          <t>Pendiente</t>
        </is>
      </c>
      <c r="J97" s="15" t="inlineStr">
        <is>
          <t>Alta</t>
        </is>
      </c>
      <c r="K97" s="16" t="inlineStr"/>
      <c r="L97" s="16" t="inlineStr"/>
    </row>
    <row r="98">
      <c r="A98" s="15" t="inlineStr">
        <is>
          <t>CART-003</t>
        </is>
      </c>
      <c r="B98" s="16" t="inlineStr">
        <is>
          <t>Carrito (drawer + página)</t>
        </is>
      </c>
      <c r="C98" s="16" t="inlineStr">
        <is>
          <t>Carrito</t>
        </is>
      </c>
      <c r="D98" s="16" t="inlineStr">
        <is>
          <t>Muestra peso + molienda elegidos y subtotal correcto</t>
        </is>
      </c>
      <c r="E98" s="15" t="inlineStr">
        <is>
          <t>Contenido</t>
        </is>
      </c>
      <c r="F98" s="15" t="inlineStr">
        <is>
          <t>Desktop</t>
        </is>
      </c>
      <c r="G98" s="16" t="inlineStr">
        <is>
          <t>Datos y subtotal correctos</t>
        </is>
      </c>
      <c r="H98" s="15" t="inlineStr"/>
      <c r="I98" s="15" t="inlineStr">
        <is>
          <t>Pendiente</t>
        </is>
      </c>
      <c r="J98" s="15" t="inlineStr">
        <is>
          <t>Alta</t>
        </is>
      </c>
      <c r="K98" s="16" t="inlineStr"/>
      <c r="L98" s="16" t="inlineStr"/>
    </row>
    <row r="99">
      <c r="A99" s="15" t="inlineStr">
        <is>
          <t>CART-004</t>
        </is>
      </c>
      <c r="B99" s="16" t="inlineStr">
        <is>
          <t>Carrito (drawer + página)</t>
        </is>
      </c>
      <c r="C99" s="16" t="inlineStr">
        <is>
          <t>Carrito</t>
        </is>
      </c>
      <c r="D99" s="16" t="inlineStr">
        <is>
          <t>Muestra peso + molienda elegidos y subtotal correcto</t>
        </is>
      </c>
      <c r="E99" s="15" t="inlineStr">
        <is>
          <t>Contenido</t>
        </is>
      </c>
      <c r="F99" s="15" t="inlineStr">
        <is>
          <t>Tablet</t>
        </is>
      </c>
      <c r="G99" s="16" t="inlineStr">
        <is>
          <t>Datos y subtotal correctos</t>
        </is>
      </c>
      <c r="H99" s="15" t="inlineStr"/>
      <c r="I99" s="15" t="inlineStr">
        <is>
          <t>Pendiente</t>
        </is>
      </c>
      <c r="J99" s="15" t="inlineStr">
        <is>
          <t>Alta</t>
        </is>
      </c>
      <c r="K99" s="16" t="inlineStr"/>
      <c r="L99" s="16" t="inlineStr"/>
    </row>
    <row r="100">
      <c r="A100" s="15" t="inlineStr">
        <is>
          <t>CART-005</t>
        </is>
      </c>
      <c r="B100" s="16" t="inlineStr">
        <is>
          <t>Carrito (drawer + página)</t>
        </is>
      </c>
      <c r="C100" s="16" t="inlineStr">
        <is>
          <t>Carrito</t>
        </is>
      </c>
      <c r="D100" s="16" t="inlineStr">
        <is>
          <t>Muestra peso + molienda elegidos y subtotal correcto</t>
        </is>
      </c>
      <c r="E100" s="15" t="inlineStr">
        <is>
          <t>Contenido</t>
        </is>
      </c>
      <c r="F100" s="15" t="inlineStr">
        <is>
          <t>Mobile</t>
        </is>
      </c>
      <c r="G100" s="16" t="inlineStr">
        <is>
          <t>Datos y subtotal correctos</t>
        </is>
      </c>
      <c r="H100" s="15" t="inlineStr"/>
      <c r="I100" s="15" t="inlineStr">
        <is>
          <t>Pendiente</t>
        </is>
      </c>
      <c r="J100" s="15" t="inlineStr">
        <is>
          <t>Alta</t>
        </is>
      </c>
      <c r="K100" s="16" t="inlineStr"/>
      <c r="L100" s="16" t="inlineStr"/>
    </row>
    <row r="101">
      <c r="A101" s="15" t="inlineStr">
        <is>
          <t>CART-006</t>
        </is>
      </c>
      <c r="B101" s="16" t="inlineStr">
        <is>
          <t>Carrito (drawer + página)</t>
        </is>
      </c>
      <c r="C101" s="16" t="inlineStr">
        <is>
          <t>Carrito</t>
        </is>
      </c>
      <c r="D101" s="16" t="inlineStr">
        <is>
          <t>Barra de envío gratis (umbral $50.000): progreso y mensaje</t>
        </is>
      </c>
      <c r="E101" s="15" t="inlineStr">
        <is>
          <t>Funcional</t>
        </is>
      </c>
      <c r="F101" s="15" t="inlineStr">
        <is>
          <t>Desktop</t>
        </is>
      </c>
      <c r="G101" s="16" t="inlineStr">
        <is>
          <t>Indica cuánto falta y avisa al alcanzarlo</t>
        </is>
      </c>
      <c r="H101" s="15" t="inlineStr"/>
      <c r="I101" s="15" t="inlineStr">
        <is>
          <t>Pendiente</t>
        </is>
      </c>
      <c r="J101" s="15" t="inlineStr">
        <is>
          <t>Media</t>
        </is>
      </c>
      <c r="K101" s="16" t="inlineStr"/>
      <c r="L101" s="16" t="inlineStr"/>
    </row>
    <row r="102">
      <c r="A102" s="15" t="inlineStr">
        <is>
          <t>CART-007</t>
        </is>
      </c>
      <c r="B102" s="16" t="inlineStr">
        <is>
          <t>Carrito (drawer + página)</t>
        </is>
      </c>
      <c r="C102" s="16" t="inlineStr">
        <is>
          <t>Carrito</t>
        </is>
      </c>
      <c r="D102" s="16" t="inlineStr">
        <is>
          <t>Barra de envío gratis (umbral $50.000): progreso y mensaje</t>
        </is>
      </c>
      <c r="E102" s="15" t="inlineStr">
        <is>
          <t>Funcional</t>
        </is>
      </c>
      <c r="F102" s="15" t="inlineStr">
        <is>
          <t>Tablet</t>
        </is>
      </c>
      <c r="G102" s="16" t="inlineStr">
        <is>
          <t>Indica cuánto falta y avisa al alcanzarlo</t>
        </is>
      </c>
      <c r="H102" s="15" t="inlineStr"/>
      <c r="I102" s="15" t="inlineStr">
        <is>
          <t>Pendiente</t>
        </is>
      </c>
      <c r="J102" s="15" t="inlineStr">
        <is>
          <t>Media</t>
        </is>
      </c>
      <c r="K102" s="16" t="inlineStr"/>
      <c r="L102" s="16" t="inlineStr"/>
    </row>
    <row r="103">
      <c r="A103" s="15" t="inlineStr">
        <is>
          <t>CART-008</t>
        </is>
      </c>
      <c r="B103" s="16" t="inlineStr">
        <is>
          <t>Carrito (drawer + página)</t>
        </is>
      </c>
      <c r="C103" s="16" t="inlineStr">
        <is>
          <t>Carrito</t>
        </is>
      </c>
      <c r="D103" s="16" t="inlineStr">
        <is>
          <t>Barra de envío gratis (umbral $50.000): progreso y mensaje</t>
        </is>
      </c>
      <c r="E103" s="15" t="inlineStr">
        <is>
          <t>Funcional</t>
        </is>
      </c>
      <c r="F103" s="15" t="inlineStr">
        <is>
          <t>Mobile</t>
        </is>
      </c>
      <c r="G103" s="16" t="inlineStr">
        <is>
          <t>Indica cuánto falta y avisa al alcanzarlo</t>
        </is>
      </c>
      <c r="H103" s="15" t="inlineStr"/>
      <c r="I103" s="15" t="inlineStr">
        <is>
          <t>Pendiente</t>
        </is>
      </c>
      <c r="J103" s="15" t="inlineStr">
        <is>
          <t>Media</t>
        </is>
      </c>
      <c r="K103" s="16" t="inlineStr"/>
      <c r="L103" s="16" t="inlineStr"/>
    </row>
    <row r="104">
      <c r="A104" s="15" t="inlineStr">
        <is>
          <t>CART-009</t>
        </is>
      </c>
      <c r="B104" s="16" t="inlineStr">
        <is>
          <t>Carrito (drawer + página)</t>
        </is>
      </c>
      <c r="C104" s="16" t="inlineStr">
        <is>
          <t>Carrito</t>
        </is>
      </c>
      <c r="D104" s="16" t="inlineStr">
        <is>
          <t>Carrito vacío (estado/imagen)</t>
        </is>
      </c>
      <c r="E104" s="15" t="inlineStr">
        <is>
          <t>Diseño</t>
        </is>
      </c>
      <c r="F104" s="15" t="inlineStr">
        <is>
          <t>Desktop</t>
        </is>
      </c>
      <c r="G104" s="16" t="inlineStr">
        <is>
          <t>Estado vacío correcto</t>
        </is>
      </c>
      <c r="H104" s="15" t="inlineStr"/>
      <c r="I104" s="15" t="inlineStr">
        <is>
          <t>Pendiente</t>
        </is>
      </c>
      <c r="J104" s="15" t="inlineStr">
        <is>
          <t>Baja</t>
        </is>
      </c>
      <c r="K104" s="16" t="inlineStr"/>
      <c r="L104" s="16" t="inlineStr"/>
    </row>
    <row r="105">
      <c r="A105" s="15" t="inlineStr">
        <is>
          <t>CART-010</t>
        </is>
      </c>
      <c r="B105" s="16" t="inlineStr">
        <is>
          <t>Carrito (drawer + página)</t>
        </is>
      </c>
      <c r="C105" s="16" t="inlineStr">
        <is>
          <t>Carrito</t>
        </is>
      </c>
      <c r="D105" s="16" t="inlineStr">
        <is>
          <t>Carrito vacío (estado/imagen)</t>
        </is>
      </c>
      <c r="E105" s="15" t="inlineStr">
        <is>
          <t>Diseño</t>
        </is>
      </c>
      <c r="F105" s="15" t="inlineStr">
        <is>
          <t>Tablet</t>
        </is>
      </c>
      <c r="G105" s="16" t="inlineStr">
        <is>
          <t>Estado vacío correcto</t>
        </is>
      </c>
      <c r="H105" s="15" t="inlineStr"/>
      <c r="I105" s="15" t="inlineStr">
        <is>
          <t>Pendiente</t>
        </is>
      </c>
      <c r="J105" s="15" t="inlineStr">
        <is>
          <t>Baja</t>
        </is>
      </c>
      <c r="K105" s="16" t="inlineStr"/>
      <c r="L105" s="16" t="inlineStr"/>
    </row>
    <row r="106">
      <c r="A106" s="15" t="inlineStr">
        <is>
          <t>CART-011</t>
        </is>
      </c>
      <c r="B106" s="16" t="inlineStr">
        <is>
          <t>Carrito (drawer + página)</t>
        </is>
      </c>
      <c r="C106" s="16" t="inlineStr">
        <is>
          <t>Carrito</t>
        </is>
      </c>
      <c r="D106" s="16" t="inlineStr">
        <is>
          <t>Carrito vacío (estado/imagen)</t>
        </is>
      </c>
      <c r="E106" s="15" t="inlineStr">
        <is>
          <t>Diseño</t>
        </is>
      </c>
      <c r="F106" s="15" t="inlineStr">
        <is>
          <t>Mobile</t>
        </is>
      </c>
      <c r="G106" s="16" t="inlineStr">
        <is>
          <t>Estado vacío correcto</t>
        </is>
      </c>
      <c r="H106" s="15" t="inlineStr"/>
      <c r="I106" s="15" t="inlineStr">
        <is>
          <t>Pendiente</t>
        </is>
      </c>
      <c r="J106" s="15" t="inlineStr">
        <is>
          <t>Baja</t>
        </is>
      </c>
      <c r="K106" s="16" t="inlineStr"/>
      <c r="L106" s="16" t="inlineStr"/>
    </row>
    <row r="107">
      <c r="A107" s="15" t="inlineStr">
        <is>
          <t>CART-012</t>
        </is>
      </c>
      <c r="B107" s="16" t="inlineStr">
        <is>
          <t>Carrito (drawer + página)</t>
        </is>
      </c>
      <c r="C107" s="16" t="inlineStr">
        <is>
          <t>Carrito</t>
        </is>
      </c>
      <c r="D107" s="16" t="inlineStr">
        <is>
          <t>Persistencia al recargar y merge invitado-&gt;logueado</t>
        </is>
      </c>
      <c r="E107" s="15" t="inlineStr">
        <is>
          <t>Borde</t>
        </is>
      </c>
      <c r="F107" s="15" t="inlineStr">
        <is>
          <t>—</t>
        </is>
      </c>
      <c r="G107" s="16" t="inlineStr">
        <is>
          <t>El carrito sobrevive recarga y login</t>
        </is>
      </c>
      <c r="H107" s="15" t="inlineStr"/>
      <c r="I107" s="15" t="inlineStr">
        <is>
          <t>Pendiente</t>
        </is>
      </c>
      <c r="J107" s="15" t="inlineStr">
        <is>
          <t>Alta</t>
        </is>
      </c>
      <c r="K107" s="16" t="inlineStr"/>
      <c r="L107" s="16" t="inlineStr"/>
    </row>
    <row r="108">
      <c r="A108" s="15" t="inlineStr">
        <is>
          <t>CART-013</t>
        </is>
      </c>
      <c r="B108" s="16" t="inlineStr">
        <is>
          <t>Carrito (drawer + página)</t>
        </is>
      </c>
      <c r="C108" s="16" t="inlineStr">
        <is>
          <t>Carrito</t>
        </is>
      </c>
      <c r="D108" s="16" t="inlineStr">
        <is>
          <t>Borde: subir qty por encima del stock debe capar</t>
        </is>
      </c>
      <c r="E108" s="15" t="inlineStr">
        <is>
          <t>Borde</t>
        </is>
      </c>
      <c r="F108" s="15" t="inlineStr">
        <is>
          <t>—</t>
        </is>
      </c>
      <c r="G108" s="16" t="inlineStr">
        <is>
          <t>No permite superar el stock real</t>
        </is>
      </c>
      <c r="H108" s="15" t="inlineStr"/>
      <c r="I108" s="15" t="inlineStr">
        <is>
          <t>Pendiente</t>
        </is>
      </c>
      <c r="J108" s="15" t="inlineStr">
        <is>
          <t>Alta</t>
        </is>
      </c>
      <c r="K108" s="16" t="inlineStr"/>
      <c r="L108" s="16" t="inlineStr"/>
    </row>
    <row r="109">
      <c r="A109" s="15" t="inlineStr">
        <is>
          <t>CART-014</t>
        </is>
      </c>
      <c r="B109" s="16" t="inlineStr">
        <is>
          <t>Carrito (drawer + página)</t>
        </is>
      </c>
      <c r="C109" s="16" t="inlineStr">
        <is>
          <t>Carrito</t>
        </is>
      </c>
      <c r="D109" s="16" t="inlineStr">
        <is>
          <t>Borde: stock que ya tenías supera el stock real</t>
        </is>
      </c>
      <c r="E109" s="15" t="inlineStr">
        <is>
          <t>Borde</t>
        </is>
      </c>
      <c r="F109" s="15" t="inlineStr">
        <is>
          <t>—</t>
        </is>
      </c>
      <c r="G109" s="16" t="inlineStr">
        <is>
          <t>Ajusta/avisa correctamente</t>
        </is>
      </c>
      <c r="H109" s="15" t="inlineStr"/>
      <c r="I109" s="15" t="inlineStr">
        <is>
          <t>Pendiente</t>
        </is>
      </c>
      <c r="J109" s="15" t="inlineStr">
        <is>
          <t>Alta</t>
        </is>
      </c>
      <c r="K109" s="16" t="inlineStr"/>
      <c r="L109" s="16" t="inlineStr"/>
    </row>
    <row r="110">
      <c r="A110" s="15" t="inlineStr">
        <is>
          <t>CHK-001</t>
        </is>
      </c>
      <c r="B110" s="16" t="inlineStr">
        <is>
          <t>Checkout y Pago (Flow)</t>
        </is>
      </c>
      <c r="C110" s="16" t="inlineStr">
        <is>
          <t>Checkout</t>
        </is>
      </c>
      <c r="D110" s="16" t="inlineStr">
        <is>
          <t>Campos Chile: región/comuna, teléfono; (sin código postal)</t>
        </is>
      </c>
      <c r="E110" s="15" t="inlineStr">
        <is>
          <t>Funcional</t>
        </is>
      </c>
      <c r="F110" s="15" t="inlineStr">
        <is>
          <t>Desktop</t>
        </is>
      </c>
      <c r="G110" s="16" t="inlineStr">
        <is>
          <t>Formulario chileno válido</t>
        </is>
      </c>
      <c r="H110" s="15" t="inlineStr"/>
      <c r="I110" s="15" t="inlineStr">
        <is>
          <t>Pendiente</t>
        </is>
      </c>
      <c r="J110" s="15" t="inlineStr">
        <is>
          <t>Alta</t>
        </is>
      </c>
      <c r="K110" s="16" t="inlineStr"/>
      <c r="L110" s="16" t="inlineStr"/>
    </row>
    <row r="111">
      <c r="A111" s="15" t="inlineStr">
        <is>
          <t>CHK-002</t>
        </is>
      </c>
      <c r="B111" s="16" t="inlineStr">
        <is>
          <t>Checkout y Pago (Flow)</t>
        </is>
      </c>
      <c r="C111" s="16" t="inlineStr">
        <is>
          <t>Checkout</t>
        </is>
      </c>
      <c r="D111" s="16" t="inlineStr">
        <is>
          <t>Campos Chile: región/comuna, teléfono; (sin código postal)</t>
        </is>
      </c>
      <c r="E111" s="15" t="inlineStr">
        <is>
          <t>Funcional</t>
        </is>
      </c>
      <c r="F111" s="15" t="inlineStr">
        <is>
          <t>Tablet</t>
        </is>
      </c>
      <c r="G111" s="16" t="inlineStr">
        <is>
          <t>Formulario chileno válido</t>
        </is>
      </c>
      <c r="H111" s="15" t="inlineStr"/>
      <c r="I111" s="15" t="inlineStr">
        <is>
          <t>Pendiente</t>
        </is>
      </c>
      <c r="J111" s="15" t="inlineStr">
        <is>
          <t>Alta</t>
        </is>
      </c>
      <c r="K111" s="16" t="inlineStr"/>
      <c r="L111" s="16" t="inlineStr"/>
    </row>
    <row r="112">
      <c r="A112" s="15" t="inlineStr">
        <is>
          <t>CHK-003</t>
        </is>
      </c>
      <c r="B112" s="16" t="inlineStr">
        <is>
          <t>Checkout y Pago (Flow)</t>
        </is>
      </c>
      <c r="C112" s="16" t="inlineStr">
        <is>
          <t>Checkout</t>
        </is>
      </c>
      <c r="D112" s="16" t="inlineStr">
        <is>
          <t>Campos Chile: región/comuna, teléfono; (sin código postal)</t>
        </is>
      </c>
      <c r="E112" s="15" t="inlineStr">
        <is>
          <t>Funcional</t>
        </is>
      </c>
      <c r="F112" s="15" t="inlineStr">
        <is>
          <t>Mobile</t>
        </is>
      </c>
      <c r="G112" s="16" t="inlineStr">
        <is>
          <t>Formulario chileno válido</t>
        </is>
      </c>
      <c r="H112" s="15" t="inlineStr"/>
      <c r="I112" s="15" t="inlineStr">
        <is>
          <t>Pendiente</t>
        </is>
      </c>
      <c r="J112" s="15" t="inlineStr">
        <is>
          <t>Alta</t>
        </is>
      </c>
      <c r="K112" s="16" t="inlineStr"/>
      <c r="L112" s="16" t="inlineStr"/>
    </row>
    <row r="113">
      <c r="A113" s="15" t="inlineStr">
        <is>
          <t>CHK-004</t>
        </is>
      </c>
      <c r="B113" s="16" t="inlineStr">
        <is>
          <t>Checkout y Pago (Flow)</t>
        </is>
      </c>
      <c r="C113" s="16" t="inlineStr">
        <is>
          <t>Checkout</t>
        </is>
      </c>
      <c r="D113" s="16" t="inlineStr">
        <is>
          <t>Login en checkout vs compra como invitado</t>
        </is>
      </c>
      <c r="E113" s="15" t="inlineStr">
        <is>
          <t>Funcional</t>
        </is>
      </c>
      <c r="F113" s="15" t="inlineStr">
        <is>
          <t>—</t>
        </is>
      </c>
      <c r="G113" s="16" t="inlineStr">
        <is>
          <t>Ambos flujos funcionan</t>
        </is>
      </c>
      <c r="H113" s="15" t="inlineStr"/>
      <c r="I113" s="15" t="inlineStr">
        <is>
          <t>Pendiente</t>
        </is>
      </c>
      <c r="J113" s="15" t="inlineStr">
        <is>
          <t>Alta</t>
        </is>
      </c>
      <c r="K113" s="16" t="inlineStr"/>
      <c r="L113" s="16" t="inlineStr"/>
    </row>
    <row r="114">
      <c r="A114" s="15" t="inlineStr">
        <is>
          <t>CHK-005</t>
        </is>
      </c>
      <c r="B114" s="16" t="inlineStr">
        <is>
          <t>Checkout y Pago (Flow)</t>
        </is>
      </c>
      <c r="C114" s="16" t="inlineStr">
        <is>
          <t>Checkout</t>
        </is>
      </c>
      <c r="D114" s="16" t="inlineStr">
        <is>
          <t>Notas, método de envío, checkbox Términos (link funciona)</t>
        </is>
      </c>
      <c r="E114" s="15" t="inlineStr">
        <is>
          <t>Funcional</t>
        </is>
      </c>
      <c r="F114" s="15" t="inlineStr">
        <is>
          <t>—</t>
        </is>
      </c>
      <c r="G114" s="16" t="inlineStr">
        <is>
          <t>Términos y Privacidad linkean bien; checkbox requerido</t>
        </is>
      </c>
      <c r="H114" s="15" t="inlineStr"/>
      <c r="I114" s="15" t="inlineStr">
        <is>
          <t>Pendiente</t>
        </is>
      </c>
      <c r="J114" s="15" t="inlineStr">
        <is>
          <t>Alta</t>
        </is>
      </c>
      <c r="K114" s="16" t="inlineStr"/>
      <c r="L114" s="16" t="inlineStr"/>
    </row>
    <row r="115">
      <c r="A115" s="15" t="inlineStr">
        <is>
          <t>CHK-006</t>
        </is>
      </c>
      <c r="B115" s="16" t="inlineStr">
        <is>
          <t>Checkout y Pago (Flow)</t>
        </is>
      </c>
      <c r="C115" s="16" t="inlineStr">
        <is>
          <t>Checkout</t>
        </is>
      </c>
      <c r="D115" s="16" t="inlineStr">
        <is>
          <t>Totales (subtotal, envío, descuento, total) correctos</t>
        </is>
      </c>
      <c r="E115" s="15" t="inlineStr">
        <is>
          <t>Contenido</t>
        </is>
      </c>
      <c r="F115" s="15" t="inlineStr">
        <is>
          <t>Desktop</t>
        </is>
      </c>
      <c r="G115" s="16" t="inlineStr">
        <is>
          <t>Los montos cuadran</t>
        </is>
      </c>
      <c r="H115" s="15" t="inlineStr"/>
      <c r="I115" s="15" t="inlineStr">
        <is>
          <t>Pendiente</t>
        </is>
      </c>
      <c r="J115" s="15" t="inlineStr">
        <is>
          <t>Alta</t>
        </is>
      </c>
      <c r="K115" s="16" t="inlineStr"/>
      <c r="L115" s="16" t="inlineStr"/>
    </row>
    <row r="116">
      <c r="A116" s="15" t="inlineStr">
        <is>
          <t>CHK-007</t>
        </is>
      </c>
      <c r="B116" s="16" t="inlineStr">
        <is>
          <t>Checkout y Pago (Flow)</t>
        </is>
      </c>
      <c r="C116" s="16" t="inlineStr">
        <is>
          <t>Checkout</t>
        </is>
      </c>
      <c r="D116" s="16" t="inlineStr">
        <is>
          <t>Totales (subtotal, envío, descuento, total) correctos</t>
        </is>
      </c>
      <c r="E116" s="15" t="inlineStr">
        <is>
          <t>Contenido</t>
        </is>
      </c>
      <c r="F116" s="15" t="inlineStr">
        <is>
          <t>Tablet</t>
        </is>
      </c>
      <c r="G116" s="16" t="inlineStr">
        <is>
          <t>Los montos cuadran</t>
        </is>
      </c>
      <c r="H116" s="15" t="inlineStr"/>
      <c r="I116" s="15" t="inlineStr">
        <is>
          <t>Pendiente</t>
        </is>
      </c>
      <c r="J116" s="15" t="inlineStr">
        <is>
          <t>Alta</t>
        </is>
      </c>
      <c r="K116" s="16" t="inlineStr"/>
      <c r="L116" s="16" t="inlineStr"/>
    </row>
    <row r="117">
      <c r="A117" s="15" t="inlineStr">
        <is>
          <t>CHK-008</t>
        </is>
      </c>
      <c r="B117" s="16" t="inlineStr">
        <is>
          <t>Checkout y Pago (Flow)</t>
        </is>
      </c>
      <c r="C117" s="16" t="inlineStr">
        <is>
          <t>Checkout</t>
        </is>
      </c>
      <c r="D117" s="16" t="inlineStr">
        <is>
          <t>Totales (subtotal, envío, descuento, total) correctos</t>
        </is>
      </c>
      <c r="E117" s="15" t="inlineStr">
        <is>
          <t>Contenido</t>
        </is>
      </c>
      <c r="F117" s="15" t="inlineStr">
        <is>
          <t>Mobile</t>
        </is>
      </c>
      <c r="G117" s="16" t="inlineStr">
        <is>
          <t>Los montos cuadran</t>
        </is>
      </c>
      <c r="H117" s="15" t="inlineStr"/>
      <c r="I117" s="15" t="inlineStr">
        <is>
          <t>Pendiente</t>
        </is>
      </c>
      <c r="J117" s="15" t="inlineStr">
        <is>
          <t>Alta</t>
        </is>
      </c>
      <c r="K117" s="16" t="inlineStr"/>
      <c r="L117" s="16" t="inlineStr"/>
    </row>
    <row r="118">
      <c r="A118" s="15" t="inlineStr">
        <is>
          <t>CHK-009</t>
        </is>
      </c>
      <c r="B118" s="16" t="inlineStr">
        <is>
          <t>Checkout y Pago (Flow)</t>
        </is>
      </c>
      <c r="C118" s="16" t="inlineStr">
        <is>
          <t>Checkout</t>
        </is>
      </c>
      <c r="D118" s="16" t="inlineStr">
        <is>
          <t>Auto-ajuste de stock al llegar + banner una sola vez</t>
        </is>
      </c>
      <c r="E118" s="15" t="inlineStr">
        <is>
          <t>Borde</t>
        </is>
      </c>
      <c r="F118" s="15" t="inlineStr">
        <is>
          <t>—</t>
        </is>
      </c>
      <c r="G118" s="16" t="inlineStr">
        <is>
          <t>Si algo no tiene stock, ajusta y avisa con banner; carrito se actualiza</t>
        </is>
      </c>
      <c r="H118" s="15" t="inlineStr"/>
      <c r="I118" s="15" t="inlineStr">
        <is>
          <t>Pendiente</t>
        </is>
      </c>
      <c r="J118" s="15" t="inlineStr">
        <is>
          <t>Alta</t>
        </is>
      </c>
      <c r="K118" s="16" t="inlineStr"/>
      <c r="L118" s="16" t="inlineStr"/>
    </row>
    <row r="119">
      <c r="A119" s="15" t="inlineStr">
        <is>
          <t>CHK-010</t>
        </is>
      </c>
      <c r="B119" s="16" t="inlineStr">
        <is>
          <t>Checkout y Pago (Flow)</t>
        </is>
      </c>
      <c r="C119" s="16" t="inlineStr">
        <is>
          <t>Pago Flow</t>
        </is>
      </c>
      <c r="D119" s="16" t="inlineStr">
        <is>
          <t>Redirección a Flow; pago con débito y crédito</t>
        </is>
      </c>
      <c r="E119" s="15" t="inlineStr">
        <is>
          <t>Integración</t>
        </is>
      </c>
      <c r="F119" s="15" t="inlineStr">
        <is>
          <t>—</t>
        </is>
      </c>
      <c r="G119" s="16" t="inlineStr">
        <is>
          <t>Llega a Flow y permite ambos medios</t>
        </is>
      </c>
      <c r="H119" s="15" t="inlineStr"/>
      <c r="I119" s="15" t="inlineStr">
        <is>
          <t>Pendiente</t>
        </is>
      </c>
      <c r="J119" s="15" t="inlineStr">
        <is>
          <t>Bloqueante</t>
        </is>
      </c>
      <c r="K119" s="16" t="inlineStr"/>
      <c r="L119" s="16" t="inlineStr"/>
    </row>
    <row r="120">
      <c r="A120" s="15" t="inlineStr">
        <is>
          <t>CHK-011</t>
        </is>
      </c>
      <c r="B120" s="16" t="inlineStr">
        <is>
          <t>Checkout y Pago (Flow)</t>
        </is>
      </c>
      <c r="C120" s="16" t="inlineStr">
        <is>
          <t>Pago Flow</t>
        </is>
      </c>
      <c r="D120" s="16" t="inlineStr">
        <is>
          <t>Éxito -&gt; pedido pagado, baja stock, email, redirección a gracias</t>
        </is>
      </c>
      <c r="E120" s="15" t="inlineStr">
        <is>
          <t>Integración</t>
        </is>
      </c>
      <c r="F120" s="15" t="inlineStr">
        <is>
          <t>—</t>
        </is>
      </c>
      <c r="G120" s="16" t="inlineStr">
        <is>
          <t>Estado, stock y emails correctos en éxito</t>
        </is>
      </c>
      <c r="H120" s="15" t="inlineStr"/>
      <c r="I120" s="15" t="inlineStr">
        <is>
          <t>Pendiente</t>
        </is>
      </c>
      <c r="J120" s="15" t="inlineStr">
        <is>
          <t>Bloqueante</t>
        </is>
      </c>
      <c r="K120" s="16" t="inlineStr"/>
      <c r="L120" s="16" t="inlineStr"/>
    </row>
    <row r="121">
      <c r="A121" s="15" t="inlineStr">
        <is>
          <t>CHK-012</t>
        </is>
      </c>
      <c r="B121" s="16" t="inlineStr">
        <is>
          <t>Checkout y Pago (Flow)</t>
        </is>
      </c>
      <c r="C121" s="16" t="inlineStr">
        <is>
          <t>Pago Flow</t>
        </is>
      </c>
      <c r="D121" s="16" t="inlineStr">
        <is>
          <t>Rechazado / Cancelado por usuario / Pendiente-timeout</t>
        </is>
      </c>
      <c r="E121" s="15" t="inlineStr">
        <is>
          <t>Borde</t>
        </is>
      </c>
      <c r="F121" s="15" t="inlineStr">
        <is>
          <t>—</t>
        </is>
      </c>
      <c r="G121" s="16" t="inlineStr">
        <is>
          <t>Estados de pedido y emails correctos en cada caso</t>
        </is>
      </c>
      <c r="H121" s="15" t="inlineStr"/>
      <c r="I121" s="15" t="inlineStr">
        <is>
          <t>Pendiente</t>
        </is>
      </c>
      <c r="J121" s="15" t="inlineStr">
        <is>
          <t>Alta</t>
        </is>
      </c>
      <c r="K121" s="16" t="inlineStr"/>
      <c r="L121" s="16" t="inlineStr"/>
    </row>
    <row r="122">
      <c r="A122" s="15" t="inlineStr">
        <is>
          <t>CHK-013</t>
        </is>
      </c>
      <c r="B122" s="16" t="inlineStr">
        <is>
          <t>Checkout y Pago (Flow)</t>
        </is>
      </c>
      <c r="C122" s="16" t="inlineStr">
        <is>
          <t>Pago Flow</t>
        </is>
      </c>
      <c r="D122" s="16" t="inlineStr">
        <is>
          <t>Reintentar pago desde pagar-orden (order-pay)</t>
        </is>
      </c>
      <c r="E122" s="15" t="inlineStr">
        <is>
          <t>Funcional</t>
        </is>
      </c>
      <c r="F122" s="15" t="inlineStr">
        <is>
          <t>Desktop</t>
        </is>
      </c>
      <c r="G122" s="16" t="inlineStr">
        <is>
          <t>Permite repagar un pedido impago</t>
        </is>
      </c>
      <c r="H122" s="15" t="inlineStr"/>
      <c r="I122" s="15" t="inlineStr">
        <is>
          <t>Pendiente</t>
        </is>
      </c>
      <c r="J122" s="15" t="inlineStr">
        <is>
          <t>Alta</t>
        </is>
      </c>
      <c r="K122" s="16" t="inlineStr"/>
      <c r="L122" s="16" t="inlineStr"/>
    </row>
    <row r="123">
      <c r="A123" s="15" t="inlineStr">
        <is>
          <t>CHK-014</t>
        </is>
      </c>
      <c r="B123" s="16" t="inlineStr">
        <is>
          <t>Checkout y Pago (Flow)</t>
        </is>
      </c>
      <c r="C123" s="16" t="inlineStr">
        <is>
          <t>Pago Flow</t>
        </is>
      </c>
      <c r="D123" s="16" t="inlineStr">
        <is>
          <t>Reintentar pago desde pagar-orden (order-pay)</t>
        </is>
      </c>
      <c r="E123" s="15" t="inlineStr">
        <is>
          <t>Funcional</t>
        </is>
      </c>
      <c r="F123" s="15" t="inlineStr">
        <is>
          <t>Tablet</t>
        </is>
      </c>
      <c r="G123" s="16" t="inlineStr">
        <is>
          <t>Permite repagar un pedido impago</t>
        </is>
      </c>
      <c r="H123" s="15" t="inlineStr"/>
      <c r="I123" s="15" t="inlineStr">
        <is>
          <t>Pendiente</t>
        </is>
      </c>
      <c r="J123" s="15" t="inlineStr">
        <is>
          <t>Alta</t>
        </is>
      </c>
      <c r="K123" s="16" t="inlineStr"/>
      <c r="L123" s="16" t="inlineStr"/>
    </row>
    <row r="124">
      <c r="A124" s="15" t="inlineStr">
        <is>
          <t>CHK-015</t>
        </is>
      </c>
      <c r="B124" s="16" t="inlineStr">
        <is>
          <t>Checkout y Pago (Flow)</t>
        </is>
      </c>
      <c r="C124" s="16" t="inlineStr">
        <is>
          <t>Pago Flow</t>
        </is>
      </c>
      <c r="D124" s="16" t="inlineStr">
        <is>
          <t>Reintentar pago desde pagar-orden (order-pay)</t>
        </is>
      </c>
      <c r="E124" s="15" t="inlineStr">
        <is>
          <t>Funcional</t>
        </is>
      </c>
      <c r="F124" s="15" t="inlineStr">
        <is>
          <t>Mobile</t>
        </is>
      </c>
      <c r="G124" s="16" t="inlineStr">
        <is>
          <t>Permite repagar un pedido impago</t>
        </is>
      </c>
      <c r="H124" s="15" t="inlineStr"/>
      <c r="I124" s="15" t="inlineStr">
        <is>
          <t>Pendiente</t>
        </is>
      </c>
      <c r="J124" s="15" t="inlineStr">
        <is>
          <t>Alta</t>
        </is>
      </c>
      <c r="K124" s="16" t="inlineStr"/>
      <c r="L124" s="16" t="inlineStr"/>
    </row>
    <row r="125">
      <c r="A125" s="15" t="inlineStr">
        <is>
          <t>CHK-016</t>
        </is>
      </c>
      <c r="B125" s="16" t="inlineStr">
        <is>
          <t>Checkout y Pago (Flow)</t>
        </is>
      </c>
      <c r="C125" s="16" t="inlineStr">
        <is>
          <t>Pago Flow</t>
        </is>
      </c>
      <c r="D125" s="16" t="inlineStr">
        <is>
          <t>Borde: cerrar Flow a mitad, volver atrás, doble pago</t>
        </is>
      </c>
      <c r="E125" s="15" t="inlineStr">
        <is>
          <t>Borde</t>
        </is>
      </c>
      <c r="F125" s="15" t="inlineStr">
        <is>
          <t>—</t>
        </is>
      </c>
      <c r="G125" s="16" t="inlineStr">
        <is>
          <t>No genera dobles cargos ni estados inconsistentes</t>
        </is>
      </c>
      <c r="H125" s="15" t="inlineStr"/>
      <c r="I125" s="15" t="inlineStr">
        <is>
          <t>Pendiente</t>
        </is>
      </c>
      <c r="J125" s="15" t="inlineStr">
        <is>
          <t>Alta</t>
        </is>
      </c>
      <c r="K125" s="16" t="inlineStr"/>
      <c r="L125" s="16" t="inlineStr"/>
    </row>
    <row r="126">
      <c r="A126" s="15" t="inlineStr">
        <is>
          <t>POST-001</t>
        </is>
      </c>
      <c r="B126" s="16" t="inlineStr">
        <is>
          <t>Post-compra</t>
        </is>
      </c>
      <c r="C126" s="16" t="inlineStr">
        <is>
          <t>Gracias</t>
        </is>
      </c>
      <c r="D126" s="16" t="inlineStr">
        <is>
          <t>Resumen, panel de dirección de entrega (con bandera país)</t>
        </is>
      </c>
      <c r="E126" s="15" t="inlineStr">
        <is>
          <t>Diseño</t>
        </is>
      </c>
      <c r="F126" s="15" t="inlineStr">
        <is>
          <t>Desktop</t>
        </is>
      </c>
      <c r="G126" s="16" t="inlineStr">
        <is>
          <t>Resumen y dirección correctos</t>
        </is>
      </c>
      <c r="H126" s="15" t="inlineStr"/>
      <c r="I126" s="15" t="inlineStr">
        <is>
          <t>Pendiente</t>
        </is>
      </c>
      <c r="J126" s="15" t="inlineStr">
        <is>
          <t>Media</t>
        </is>
      </c>
      <c r="K126" s="16" t="inlineStr"/>
      <c r="L126" s="16" t="inlineStr"/>
    </row>
    <row r="127">
      <c r="A127" s="15" t="inlineStr">
        <is>
          <t>POST-002</t>
        </is>
      </c>
      <c r="B127" s="16" t="inlineStr">
        <is>
          <t>Post-compra</t>
        </is>
      </c>
      <c r="C127" s="16" t="inlineStr">
        <is>
          <t>Gracias</t>
        </is>
      </c>
      <c r="D127" s="16" t="inlineStr">
        <is>
          <t>Resumen, panel de dirección de entrega (con bandera país)</t>
        </is>
      </c>
      <c r="E127" s="15" t="inlineStr">
        <is>
          <t>Diseño</t>
        </is>
      </c>
      <c r="F127" s="15" t="inlineStr">
        <is>
          <t>Tablet</t>
        </is>
      </c>
      <c r="G127" s="16" t="inlineStr">
        <is>
          <t>Resumen y dirección correctos</t>
        </is>
      </c>
      <c r="H127" s="15" t="inlineStr"/>
      <c r="I127" s="15" t="inlineStr">
        <is>
          <t>Pendiente</t>
        </is>
      </c>
      <c r="J127" s="15" t="inlineStr">
        <is>
          <t>Media</t>
        </is>
      </c>
      <c r="K127" s="16" t="inlineStr"/>
      <c r="L127" s="16" t="inlineStr"/>
    </row>
    <row r="128">
      <c r="A128" s="15" t="inlineStr">
        <is>
          <t>POST-003</t>
        </is>
      </c>
      <c r="B128" s="16" t="inlineStr">
        <is>
          <t>Post-compra</t>
        </is>
      </c>
      <c r="C128" s="16" t="inlineStr">
        <is>
          <t>Gracias</t>
        </is>
      </c>
      <c r="D128" s="16" t="inlineStr">
        <is>
          <t>Resumen, panel de dirección de entrega (con bandera país)</t>
        </is>
      </c>
      <c r="E128" s="15" t="inlineStr">
        <is>
          <t>Diseño</t>
        </is>
      </c>
      <c r="F128" s="15" t="inlineStr">
        <is>
          <t>Mobile</t>
        </is>
      </c>
      <c r="G128" s="16" t="inlineStr">
        <is>
          <t>Resumen y dirección correctos</t>
        </is>
      </c>
      <c r="H128" s="15" t="inlineStr"/>
      <c r="I128" s="15" t="inlineStr">
        <is>
          <t>Pendiente</t>
        </is>
      </c>
      <c r="J128" s="15" t="inlineStr">
        <is>
          <t>Media</t>
        </is>
      </c>
      <c r="K128" s="16" t="inlineStr"/>
      <c r="L128" s="16" t="inlineStr"/>
    </row>
    <row r="129">
      <c r="A129" s="15" t="inlineStr">
        <is>
          <t>POST-004</t>
        </is>
      </c>
      <c r="B129" s="16" t="inlineStr">
        <is>
          <t>Post-compra</t>
        </is>
      </c>
      <c r="C129" s="16" t="inlineStr">
        <is>
          <t>Gracias</t>
        </is>
      </c>
      <c r="D129" s="16" t="inlineStr">
        <is>
          <t>Link 'ver pedido' y botón cancelar con confirmación</t>
        </is>
      </c>
      <c r="E129" s="15" t="inlineStr">
        <is>
          <t>Funcional</t>
        </is>
      </c>
      <c r="F129" s="15" t="inlineStr">
        <is>
          <t>—</t>
        </is>
      </c>
      <c r="G129" s="16" t="inlineStr">
        <is>
          <t>Ver pedido funciona; cancelar pide confirmación</t>
        </is>
      </c>
      <c r="H129" s="15" t="inlineStr"/>
      <c r="I129" s="15" t="inlineStr">
        <is>
          <t>Pendiente</t>
        </is>
      </c>
      <c r="J129" s="15" t="inlineStr">
        <is>
          <t>Media</t>
        </is>
      </c>
      <c r="K129" s="16" t="inlineStr"/>
      <c r="L129" s="16" t="inlineStr"/>
    </row>
    <row r="130">
      <c r="A130" s="15" t="inlineStr">
        <is>
          <t>POST-005</t>
        </is>
      </c>
      <c r="B130" s="16" t="inlineStr">
        <is>
          <t>Post-compra</t>
        </is>
      </c>
      <c r="C130" s="16" t="inlineStr">
        <is>
          <t>Order-pay</t>
        </is>
      </c>
      <c r="D130" s="16" t="inlineStr">
        <is>
          <t>Estética coherente, tabla del pedido, acciones fuera del tfoot</t>
        </is>
      </c>
      <c r="E130" s="15" t="inlineStr">
        <is>
          <t>Diseño</t>
        </is>
      </c>
      <c r="F130" s="15" t="inlineStr">
        <is>
          <t>Desktop</t>
        </is>
      </c>
      <c r="G130" s="16" t="inlineStr">
        <is>
          <t>Se ve prolijo en todos los dispositivos</t>
        </is>
      </c>
      <c r="H130" s="15" t="inlineStr"/>
      <c r="I130" s="15" t="inlineStr">
        <is>
          <t>Pendiente</t>
        </is>
      </c>
      <c r="J130" s="15" t="inlineStr">
        <is>
          <t>Media</t>
        </is>
      </c>
      <c r="K130" s="16" t="inlineStr"/>
      <c r="L130" s="16" t="inlineStr"/>
    </row>
    <row r="131">
      <c r="A131" s="15" t="inlineStr">
        <is>
          <t>POST-006</t>
        </is>
      </c>
      <c r="B131" s="16" t="inlineStr">
        <is>
          <t>Post-compra</t>
        </is>
      </c>
      <c r="C131" s="16" t="inlineStr">
        <is>
          <t>Order-pay</t>
        </is>
      </c>
      <c r="D131" s="16" t="inlineStr">
        <is>
          <t>Estética coherente, tabla del pedido, acciones fuera del tfoot</t>
        </is>
      </c>
      <c r="E131" s="15" t="inlineStr">
        <is>
          <t>Diseño</t>
        </is>
      </c>
      <c r="F131" s="15" t="inlineStr">
        <is>
          <t>Tablet</t>
        </is>
      </c>
      <c r="G131" s="16" t="inlineStr">
        <is>
          <t>Se ve prolijo en todos los dispositivos</t>
        </is>
      </c>
      <c r="H131" s="15" t="inlineStr"/>
      <c r="I131" s="15" t="inlineStr">
        <is>
          <t>Pendiente</t>
        </is>
      </c>
      <c r="J131" s="15" t="inlineStr">
        <is>
          <t>Media</t>
        </is>
      </c>
      <c r="K131" s="16" t="inlineStr"/>
      <c r="L131" s="16" t="inlineStr"/>
    </row>
    <row r="132">
      <c r="A132" s="15" t="inlineStr">
        <is>
          <t>POST-007</t>
        </is>
      </c>
      <c r="B132" s="16" t="inlineStr">
        <is>
          <t>Post-compra</t>
        </is>
      </c>
      <c r="C132" s="16" t="inlineStr">
        <is>
          <t>Order-pay</t>
        </is>
      </c>
      <c r="D132" s="16" t="inlineStr">
        <is>
          <t>Estética coherente, tabla del pedido, acciones fuera del tfoot</t>
        </is>
      </c>
      <c r="E132" s="15" t="inlineStr">
        <is>
          <t>Diseño</t>
        </is>
      </c>
      <c r="F132" s="15" t="inlineStr">
        <is>
          <t>Mobile</t>
        </is>
      </c>
      <c r="G132" s="16" t="inlineStr">
        <is>
          <t>Se ve prolijo en todos los dispositivos</t>
        </is>
      </c>
      <c r="H132" s="15" t="inlineStr"/>
      <c r="I132" s="15" t="inlineStr">
        <is>
          <t>Pendiente</t>
        </is>
      </c>
      <c r="J132" s="15" t="inlineStr">
        <is>
          <t>Media</t>
        </is>
      </c>
      <c r="K132" s="16" t="inlineStr"/>
      <c r="L132" s="16" t="inlineStr"/>
    </row>
    <row r="133">
      <c r="A133" s="15" t="inlineStr">
        <is>
          <t>ACC-001</t>
        </is>
      </c>
      <c r="B133" s="16" t="inlineStr">
        <is>
          <t>Mi cuenta</t>
        </is>
      </c>
      <c r="C133" s="16" t="inlineStr">
        <is>
          <t>Login</t>
        </is>
      </c>
      <c r="D133" s="16" t="inlineStr">
        <is>
          <t>Credenciales correctas inician sesión</t>
        </is>
      </c>
      <c r="E133" s="15" t="inlineStr">
        <is>
          <t>Funcional</t>
        </is>
      </c>
      <c r="F133" s="15" t="inlineStr">
        <is>
          <t>—</t>
        </is>
      </c>
      <c r="G133" s="16" t="inlineStr">
        <is>
          <t>Loguea correctamente</t>
        </is>
      </c>
      <c r="H133" s="15" t="inlineStr"/>
      <c r="I133" s="15" t="inlineStr">
        <is>
          <t>Pendiente</t>
        </is>
      </c>
      <c r="J133" s="15" t="inlineStr">
        <is>
          <t>Bloqueante</t>
        </is>
      </c>
      <c r="K133" s="16" t="inlineStr"/>
      <c r="L133" s="16" t="inlineStr"/>
    </row>
    <row r="134">
      <c r="A134" s="15" t="inlineStr">
        <is>
          <t>ACC-002</t>
        </is>
      </c>
      <c r="B134" s="16" t="inlineStr">
        <is>
          <t>Mi cuenta</t>
        </is>
      </c>
      <c r="C134" s="16" t="inlineStr">
        <is>
          <t>Login</t>
        </is>
      </c>
      <c r="D134" s="16" t="inlineStr">
        <is>
          <t>Credenciales incorrectas -&gt; mensaje genérico anti-enumeración</t>
        </is>
      </c>
      <c r="E134" s="15" t="inlineStr">
        <is>
          <t>Funcional</t>
        </is>
      </c>
      <c r="F134" s="15" t="inlineStr">
        <is>
          <t>—</t>
        </is>
      </c>
      <c r="G134" s="16" t="inlineStr">
        <is>
          <t>No revela si el email existe</t>
        </is>
      </c>
      <c r="H134" s="15" t="inlineStr"/>
      <c r="I134" s="15" t="inlineStr">
        <is>
          <t>Pendiente</t>
        </is>
      </c>
      <c r="J134" s="15" t="inlineStr">
        <is>
          <t>Alta</t>
        </is>
      </c>
      <c r="K134" s="16" t="inlineStr"/>
      <c r="L134" s="16" t="inlineStr"/>
    </row>
    <row r="135">
      <c r="A135" s="15" t="inlineStr">
        <is>
          <t>ACC-003</t>
        </is>
      </c>
      <c r="B135" s="16" t="inlineStr">
        <is>
          <t>Mi cuenta</t>
        </is>
      </c>
      <c r="C135" s="16" t="inlineStr">
        <is>
          <t>Login</t>
        </is>
      </c>
      <c r="D135" s="16" t="inlineStr">
        <is>
          <t>'Recordarme' y link a recuperar contraseña</t>
        </is>
      </c>
      <c r="E135" s="15" t="inlineStr">
        <is>
          <t>Funcional</t>
        </is>
      </c>
      <c r="F135" s="15" t="inlineStr">
        <is>
          <t>—</t>
        </is>
      </c>
      <c r="G135" s="16" t="inlineStr">
        <is>
          <t>Funciona recordar sesión y el link</t>
        </is>
      </c>
      <c r="H135" s="15" t="inlineStr"/>
      <c r="I135" s="15" t="inlineStr">
        <is>
          <t>Pendiente</t>
        </is>
      </c>
      <c r="J135" s="15" t="inlineStr">
        <is>
          <t>Baja</t>
        </is>
      </c>
      <c r="K135" s="16" t="inlineStr"/>
      <c r="L135" s="16" t="inlineStr"/>
    </row>
    <row r="136">
      <c r="A136" s="15" t="inlineStr">
        <is>
          <t>ACC-004</t>
        </is>
      </c>
      <c r="B136" s="16" t="inlineStr">
        <is>
          <t>Mi cuenta</t>
        </is>
      </c>
      <c r="C136" s="16" t="inlineStr">
        <is>
          <t>Registro</t>
        </is>
      </c>
      <c r="D136" s="16" t="inlineStr">
        <is>
          <t>Sin pedidos previos: crea cuenta y valida</t>
        </is>
      </c>
      <c r="E136" s="15" t="inlineStr">
        <is>
          <t>Funcional</t>
        </is>
      </c>
      <c r="F136" s="15" t="inlineStr">
        <is>
          <t>—</t>
        </is>
      </c>
      <c r="G136" s="16" t="inlineStr">
        <is>
          <t>Registro correcto</t>
        </is>
      </c>
      <c r="H136" s="15" t="inlineStr"/>
      <c r="I136" s="15" t="inlineStr">
        <is>
          <t>Pendiente</t>
        </is>
      </c>
      <c r="J136" s="15" t="inlineStr">
        <is>
          <t>Alta</t>
        </is>
      </c>
      <c r="K136" s="16" t="inlineStr"/>
      <c r="L136" s="16" t="inlineStr"/>
    </row>
    <row r="137">
      <c r="A137" s="15" t="inlineStr">
        <is>
          <t>ACC-005</t>
        </is>
      </c>
      <c r="B137" s="16" t="inlineStr">
        <is>
          <t>Mi cuenta</t>
        </is>
      </c>
      <c r="C137" s="16" t="inlineStr">
        <is>
          <t>Registro</t>
        </is>
      </c>
      <c r="D137" s="16" t="inlineStr">
        <is>
          <t>Con pedidos previos: prefill de dirección del último pedido</t>
        </is>
      </c>
      <c r="E137" s="15" t="inlineStr">
        <is>
          <t>Funcional</t>
        </is>
      </c>
      <c r="F137" s="15" t="inlineStr">
        <is>
          <t>—</t>
        </is>
      </c>
      <c r="G137" s="16" t="inlineStr">
        <is>
          <t>Precarga la dirección del último pedido</t>
        </is>
      </c>
      <c r="H137" s="15" t="inlineStr"/>
      <c r="I137" s="15" t="inlineStr">
        <is>
          <t>Pendiente</t>
        </is>
      </c>
      <c r="J137" s="15" t="inlineStr">
        <is>
          <t>Media</t>
        </is>
      </c>
      <c r="K137" s="16" t="inlineStr"/>
      <c r="L137" s="16" t="inlineStr"/>
    </row>
    <row r="138">
      <c r="A138" s="15" t="inlineStr">
        <is>
          <t>ACC-006</t>
        </is>
      </c>
      <c r="B138" s="16" t="inlineStr">
        <is>
          <t>Mi cuenta</t>
        </is>
      </c>
      <c r="C138" s="16" t="inlineStr">
        <is>
          <t>Registro</t>
        </is>
      </c>
      <c r="D138" s="16" t="inlineStr">
        <is>
          <t>Email duplicado y validaciones</t>
        </is>
      </c>
      <c r="E138" s="15" t="inlineStr">
        <is>
          <t>Borde</t>
        </is>
      </c>
      <c r="F138" s="15" t="inlineStr">
        <is>
          <t>—</t>
        </is>
      </c>
      <c r="G138" s="16" t="inlineStr">
        <is>
          <t>Rechaza email existente con mensaje claro</t>
        </is>
      </c>
      <c r="H138" s="15" t="inlineStr"/>
      <c r="I138" s="15" t="inlineStr">
        <is>
          <t>Pendiente</t>
        </is>
      </c>
      <c r="J138" s="15" t="inlineStr">
        <is>
          <t>Media</t>
        </is>
      </c>
      <c r="K138" s="16" t="inlineStr"/>
      <c r="L138" s="16" t="inlineStr"/>
    </row>
    <row r="139">
      <c r="A139" s="15" t="inlineStr">
        <is>
          <t>ACC-007</t>
        </is>
      </c>
      <c r="B139" s="16" t="inlineStr">
        <is>
          <t>Mi cuenta</t>
        </is>
      </c>
      <c r="C139" s="16" t="inlineStr">
        <is>
          <t>Recuperar pass</t>
        </is>
      </c>
      <c r="D139" s="16" t="inlineStr">
        <is>
          <t>Email de recuperación llega y el link resetea</t>
        </is>
      </c>
      <c r="E139" s="15" t="inlineStr">
        <is>
          <t>Integración</t>
        </is>
      </c>
      <c r="F139" s="15" t="inlineStr">
        <is>
          <t>—</t>
        </is>
      </c>
      <c r="G139" s="16" t="inlineStr">
        <is>
          <t>Llega el mail y el reseteo funciona</t>
        </is>
      </c>
      <c r="H139" s="15" t="inlineStr"/>
      <c r="I139" s="15" t="inlineStr">
        <is>
          <t>Pendiente</t>
        </is>
      </c>
      <c r="J139" s="15" t="inlineStr">
        <is>
          <t>Alta</t>
        </is>
      </c>
      <c r="K139" s="16" t="inlineStr"/>
      <c r="L139" s="16" t="inlineStr"/>
    </row>
    <row r="140">
      <c r="A140" s="15" t="inlineStr">
        <is>
          <t>ACC-008</t>
        </is>
      </c>
      <c r="B140" s="16" t="inlineStr">
        <is>
          <t>Mi cuenta</t>
        </is>
      </c>
      <c r="C140" s="16" t="inlineStr">
        <is>
          <t>Recuperar pass</t>
        </is>
      </c>
      <c r="D140" s="16" t="inlineStr">
        <is>
          <t>El pass viejo deja de funcionar tras el cambio</t>
        </is>
      </c>
      <c r="E140" s="15" t="inlineStr">
        <is>
          <t>Funcional</t>
        </is>
      </c>
      <c r="F140" s="15" t="inlineStr">
        <is>
          <t>—</t>
        </is>
      </c>
      <c r="G140" s="16" t="inlineStr">
        <is>
          <t>La contraseña anterior ya no sirve</t>
        </is>
      </c>
      <c r="H140" s="15" t="inlineStr"/>
      <c r="I140" s="15" t="inlineStr">
        <is>
          <t>Pendiente</t>
        </is>
      </c>
      <c r="J140" s="15" t="inlineStr">
        <is>
          <t>Alta</t>
        </is>
      </c>
      <c r="K140" s="16" t="inlineStr"/>
      <c r="L140" s="16" t="inlineStr"/>
    </row>
    <row r="141">
      <c r="A141" s="15" t="inlineStr">
        <is>
          <t>ACC-009</t>
        </is>
      </c>
      <c r="B141" s="16" t="inlineStr">
        <is>
          <t>Mi cuenta</t>
        </is>
      </c>
      <c r="C141" s="16" t="inlineStr">
        <is>
          <t>Recuperar pass</t>
        </is>
      </c>
      <c r="D141" s="16" t="inlineStr">
        <is>
          <t>Cuenta inexistente y link vencido/usado</t>
        </is>
      </c>
      <c r="E141" s="15" t="inlineStr">
        <is>
          <t>Borde</t>
        </is>
      </c>
      <c r="F141" s="15" t="inlineStr">
        <is>
          <t>—</t>
        </is>
      </c>
      <c r="G141" s="16" t="inlineStr">
        <is>
          <t>Maneja casos inválidos sin filtrar info</t>
        </is>
      </c>
      <c r="H141" s="15" t="inlineStr"/>
      <c r="I141" s="15" t="inlineStr">
        <is>
          <t>Pendiente</t>
        </is>
      </c>
      <c r="J141" s="15" t="inlineStr">
        <is>
          <t>Media</t>
        </is>
      </c>
      <c r="K141" s="16" t="inlineStr"/>
      <c r="L141" s="16" t="inlineStr"/>
    </row>
    <row r="142">
      <c r="A142" s="15" t="inlineStr">
        <is>
          <t>ACC-010</t>
        </is>
      </c>
      <c r="B142" s="16" t="inlineStr">
        <is>
          <t>Mi cuenta</t>
        </is>
      </c>
      <c r="C142" s="16" t="inlineStr">
        <is>
          <t>Pedidos</t>
        </is>
      </c>
      <c r="D142" s="16" t="inlineStr">
        <is>
          <t>Listado con estados; ver detalle</t>
        </is>
      </c>
      <c r="E142" s="15" t="inlineStr">
        <is>
          <t>Funcional</t>
        </is>
      </c>
      <c r="F142" s="15" t="inlineStr">
        <is>
          <t>Desktop</t>
        </is>
      </c>
      <c r="G142" s="16" t="inlineStr">
        <is>
          <t>Lista y detalle correctos</t>
        </is>
      </c>
      <c r="H142" s="15" t="inlineStr"/>
      <c r="I142" s="15" t="inlineStr">
        <is>
          <t>Pendiente</t>
        </is>
      </c>
      <c r="J142" s="15" t="inlineStr">
        <is>
          <t>Alta</t>
        </is>
      </c>
      <c r="K142" s="16" t="inlineStr"/>
      <c r="L142" s="16" t="inlineStr"/>
    </row>
    <row r="143">
      <c r="A143" s="15" t="inlineStr">
        <is>
          <t>ACC-011</t>
        </is>
      </c>
      <c r="B143" s="16" t="inlineStr">
        <is>
          <t>Mi cuenta</t>
        </is>
      </c>
      <c r="C143" s="16" t="inlineStr">
        <is>
          <t>Pedidos</t>
        </is>
      </c>
      <c r="D143" s="16" t="inlineStr">
        <is>
          <t>Listado con estados; ver detalle</t>
        </is>
      </c>
      <c r="E143" s="15" t="inlineStr">
        <is>
          <t>Funcional</t>
        </is>
      </c>
      <c r="F143" s="15" t="inlineStr">
        <is>
          <t>Tablet</t>
        </is>
      </c>
      <c r="G143" s="16" t="inlineStr">
        <is>
          <t>Lista y detalle correctos</t>
        </is>
      </c>
      <c r="H143" s="15" t="inlineStr"/>
      <c r="I143" s="15" t="inlineStr">
        <is>
          <t>Pendiente</t>
        </is>
      </c>
      <c r="J143" s="15" t="inlineStr">
        <is>
          <t>Alta</t>
        </is>
      </c>
      <c r="K143" s="16" t="inlineStr"/>
      <c r="L143" s="16" t="inlineStr"/>
    </row>
    <row r="144">
      <c r="A144" s="15" t="inlineStr">
        <is>
          <t>ACC-012</t>
        </is>
      </c>
      <c r="B144" s="16" t="inlineStr">
        <is>
          <t>Mi cuenta</t>
        </is>
      </c>
      <c r="C144" s="16" t="inlineStr">
        <is>
          <t>Pedidos</t>
        </is>
      </c>
      <c r="D144" s="16" t="inlineStr">
        <is>
          <t>Listado con estados; ver detalle</t>
        </is>
      </c>
      <c r="E144" s="15" t="inlineStr">
        <is>
          <t>Funcional</t>
        </is>
      </c>
      <c r="F144" s="15" t="inlineStr">
        <is>
          <t>Mobile</t>
        </is>
      </c>
      <c r="G144" s="16" t="inlineStr">
        <is>
          <t>Lista y detalle correctos</t>
        </is>
      </c>
      <c r="H144" s="15" t="inlineStr"/>
      <c r="I144" s="15" t="inlineStr">
        <is>
          <t>Pendiente</t>
        </is>
      </c>
      <c r="J144" s="15" t="inlineStr">
        <is>
          <t>Alta</t>
        </is>
      </c>
      <c r="K144" s="16" t="inlineStr"/>
      <c r="L144" s="16" t="inlineStr"/>
    </row>
    <row r="145">
      <c r="A145" s="15" t="inlineStr">
        <is>
          <t>ACC-013</t>
        </is>
      </c>
      <c r="B145" s="16" t="inlineStr">
        <is>
          <t>Mi cuenta</t>
        </is>
      </c>
      <c r="C145" s="16" t="inlineStr">
        <is>
          <t>Pedidos</t>
        </is>
      </c>
      <c r="D145" s="16" t="inlineStr">
        <is>
          <t>Cancelar pago y cancelar pedido (con confirmación)</t>
        </is>
      </c>
      <c r="E145" s="15" t="inlineStr">
        <is>
          <t>Funcional</t>
        </is>
      </c>
      <c r="F145" s="15" t="inlineStr">
        <is>
          <t>—</t>
        </is>
      </c>
      <c r="G145" s="16" t="inlineStr">
        <is>
          <t>Confirmación en lista, detalle y gracias</t>
        </is>
      </c>
      <c r="H145" s="15" t="inlineStr"/>
      <c r="I145" s="15" t="inlineStr">
        <is>
          <t>Pendiente</t>
        </is>
      </c>
      <c r="J145" s="15" t="inlineStr">
        <is>
          <t>Alta</t>
        </is>
      </c>
      <c r="K145" s="16" t="inlineStr"/>
      <c r="L145" s="16" t="inlineStr"/>
    </row>
    <row r="146">
      <c r="A146" s="15" t="inlineStr">
        <is>
          <t>ACC-014</t>
        </is>
      </c>
      <c r="B146" s="16" t="inlineStr">
        <is>
          <t>Mi cuenta</t>
        </is>
      </c>
      <c r="C146" s="16" t="inlineStr">
        <is>
          <t>Pedidos</t>
        </is>
      </c>
      <c r="D146" s="16" t="inlineStr">
        <is>
          <t>Detalle: ítems, totales, direcciones; acciones fuera del tfoot</t>
        </is>
      </c>
      <c r="E146" s="15" t="inlineStr">
        <is>
          <t>Diseño</t>
        </is>
      </c>
      <c r="F146" s="15" t="inlineStr">
        <is>
          <t>Desktop</t>
        </is>
      </c>
      <c r="G146" s="16" t="inlineStr">
        <is>
          <t>Detalle prolijo en desktop y mobile</t>
        </is>
      </c>
      <c r="H146" s="15" t="inlineStr"/>
      <c r="I146" s="15" t="inlineStr">
        <is>
          <t>Pendiente</t>
        </is>
      </c>
      <c r="J146" s="15" t="inlineStr">
        <is>
          <t>Media</t>
        </is>
      </c>
      <c r="K146" s="16" t="inlineStr"/>
      <c r="L146" s="16" t="inlineStr"/>
    </row>
    <row r="147">
      <c r="A147" s="15" t="inlineStr">
        <is>
          <t>ACC-015</t>
        </is>
      </c>
      <c r="B147" s="16" t="inlineStr">
        <is>
          <t>Mi cuenta</t>
        </is>
      </c>
      <c r="C147" s="16" t="inlineStr">
        <is>
          <t>Pedidos</t>
        </is>
      </c>
      <c r="D147" s="16" t="inlineStr">
        <is>
          <t>Detalle: ítems, totales, direcciones; acciones fuera del tfoot</t>
        </is>
      </c>
      <c r="E147" s="15" t="inlineStr">
        <is>
          <t>Diseño</t>
        </is>
      </c>
      <c r="F147" s="15" t="inlineStr">
        <is>
          <t>Tablet</t>
        </is>
      </c>
      <c r="G147" s="16" t="inlineStr">
        <is>
          <t>Detalle prolijo en desktop y mobile</t>
        </is>
      </c>
      <c r="H147" s="15" t="inlineStr"/>
      <c r="I147" s="15" t="inlineStr">
        <is>
          <t>Pendiente</t>
        </is>
      </c>
      <c r="J147" s="15" t="inlineStr">
        <is>
          <t>Media</t>
        </is>
      </c>
      <c r="K147" s="16" t="inlineStr"/>
      <c r="L147" s="16" t="inlineStr"/>
    </row>
    <row r="148">
      <c r="A148" s="15" t="inlineStr">
        <is>
          <t>ACC-016</t>
        </is>
      </c>
      <c r="B148" s="16" t="inlineStr">
        <is>
          <t>Mi cuenta</t>
        </is>
      </c>
      <c r="C148" s="16" t="inlineStr">
        <is>
          <t>Pedidos</t>
        </is>
      </c>
      <c r="D148" s="16" t="inlineStr">
        <is>
          <t>Detalle: ítems, totales, direcciones; acciones fuera del tfoot</t>
        </is>
      </c>
      <c r="E148" s="15" t="inlineStr">
        <is>
          <t>Diseño</t>
        </is>
      </c>
      <c r="F148" s="15" t="inlineStr">
        <is>
          <t>Mobile</t>
        </is>
      </c>
      <c r="G148" s="16" t="inlineStr">
        <is>
          <t>Detalle prolijo en desktop y mobile</t>
        </is>
      </c>
      <c r="H148" s="15" t="inlineStr"/>
      <c r="I148" s="15" t="inlineStr">
        <is>
          <t>Pendiente</t>
        </is>
      </c>
      <c r="J148" s="15" t="inlineStr">
        <is>
          <t>Media</t>
        </is>
      </c>
      <c r="K148" s="16" t="inlineStr"/>
      <c r="L148" s="16" t="inlineStr"/>
    </row>
    <row r="149">
      <c r="A149" s="15" t="inlineStr">
        <is>
          <t>ACC-017</t>
        </is>
      </c>
      <c r="B149" s="16" t="inlineStr">
        <is>
          <t>Mi cuenta</t>
        </is>
      </c>
      <c r="C149" s="16" t="inlineStr">
        <is>
          <t>Direcciones</t>
        </is>
      </c>
      <c r="D149" s="16" t="inlineStr">
        <is>
          <t>Editar facturación y envío; validación campos CL; teléfono</t>
        </is>
      </c>
      <c r="E149" s="15" t="inlineStr">
        <is>
          <t>Funcional</t>
        </is>
      </c>
      <c r="F149" s="15" t="inlineStr">
        <is>
          <t>—</t>
        </is>
      </c>
      <c r="G149" s="16" t="inlineStr">
        <is>
          <t>Edita y valida direcciones chilenas</t>
        </is>
      </c>
      <c r="H149" s="15" t="inlineStr"/>
      <c r="I149" s="15" t="inlineStr">
        <is>
          <t>Pendiente</t>
        </is>
      </c>
      <c r="J149" s="15" t="inlineStr">
        <is>
          <t>Media</t>
        </is>
      </c>
      <c r="K149" s="16" t="inlineStr"/>
      <c r="L149" s="16" t="inlineStr"/>
    </row>
    <row r="150">
      <c r="A150" s="15" t="inlineStr">
        <is>
          <t>ACC-018</t>
        </is>
      </c>
      <c r="B150" s="16" t="inlineStr">
        <is>
          <t>Mi cuenta</t>
        </is>
      </c>
      <c r="C150" s="16" t="inlineStr">
        <is>
          <t>Direcciones</t>
        </is>
      </c>
      <c r="D150" s="16" t="inlineStr">
        <is>
          <t>'Usar dirección de envío': copia, confirma si hay datos, deshabilitado sin envío</t>
        </is>
      </c>
      <c r="E150" s="15" t="inlineStr">
        <is>
          <t>Funcional</t>
        </is>
      </c>
      <c r="F150" s="15" t="inlineStr">
        <is>
          <t>—</t>
        </is>
      </c>
      <c r="G150" s="16" t="inlineStr">
        <is>
          <t>Copia envío-&gt;facturación con confirmación; deshabilitado si no hay envío</t>
        </is>
      </c>
      <c r="H150" s="15" t="inlineStr"/>
      <c r="I150" s="15" t="inlineStr">
        <is>
          <t>Pendiente</t>
        </is>
      </c>
      <c r="J150" s="15" t="inlineStr">
        <is>
          <t>Media</t>
        </is>
      </c>
      <c r="K150" s="16" t="inlineStr"/>
      <c r="L150" s="16" t="inlineStr"/>
    </row>
    <row r="151">
      <c r="A151" s="15" t="inlineStr">
        <is>
          <t>ACC-019</t>
        </is>
      </c>
      <c r="B151" s="16" t="inlineStr">
        <is>
          <t>Mi cuenta</t>
        </is>
      </c>
      <c r="C151" s="16" t="inlineStr">
        <is>
          <t>Direcciones</t>
        </is>
      </c>
      <c r="D151" s="16" t="inlineStr">
        <is>
          <t>Tarjetas con íconos y país visible</t>
        </is>
      </c>
      <c r="E151" s="15" t="inlineStr">
        <is>
          <t>Diseño</t>
        </is>
      </c>
      <c r="F151" s="15" t="inlineStr">
        <is>
          <t>Desktop</t>
        </is>
      </c>
      <c r="G151" s="16" t="inlineStr">
        <is>
          <t>Paneles con íconos correctos</t>
        </is>
      </c>
      <c r="H151" s="15" t="inlineStr"/>
      <c r="I151" s="15" t="inlineStr">
        <is>
          <t>Pendiente</t>
        </is>
      </c>
      <c r="J151" s="15" t="inlineStr">
        <is>
          <t>Baja</t>
        </is>
      </c>
      <c r="K151" s="16" t="inlineStr"/>
      <c r="L151" s="16" t="inlineStr"/>
    </row>
    <row r="152">
      <c r="A152" s="15" t="inlineStr">
        <is>
          <t>ACC-020</t>
        </is>
      </c>
      <c r="B152" s="16" t="inlineStr">
        <is>
          <t>Mi cuenta</t>
        </is>
      </c>
      <c r="C152" s="16" t="inlineStr">
        <is>
          <t>Direcciones</t>
        </is>
      </c>
      <c r="D152" s="16" t="inlineStr">
        <is>
          <t>Tarjetas con íconos y país visible</t>
        </is>
      </c>
      <c r="E152" s="15" t="inlineStr">
        <is>
          <t>Diseño</t>
        </is>
      </c>
      <c r="F152" s="15" t="inlineStr">
        <is>
          <t>Tablet</t>
        </is>
      </c>
      <c r="G152" s="16" t="inlineStr">
        <is>
          <t>Paneles con íconos correctos</t>
        </is>
      </c>
      <c r="H152" s="15" t="inlineStr"/>
      <c r="I152" s="15" t="inlineStr">
        <is>
          <t>Pendiente</t>
        </is>
      </c>
      <c r="J152" s="15" t="inlineStr">
        <is>
          <t>Baja</t>
        </is>
      </c>
      <c r="K152" s="16" t="inlineStr"/>
      <c r="L152" s="16" t="inlineStr"/>
    </row>
    <row r="153">
      <c r="A153" s="15" t="inlineStr">
        <is>
          <t>ACC-021</t>
        </is>
      </c>
      <c r="B153" s="16" t="inlineStr">
        <is>
          <t>Mi cuenta</t>
        </is>
      </c>
      <c r="C153" s="16" t="inlineStr">
        <is>
          <t>Direcciones</t>
        </is>
      </c>
      <c r="D153" s="16" t="inlineStr">
        <is>
          <t>Tarjetas con íconos y país visible</t>
        </is>
      </c>
      <c r="E153" s="15" t="inlineStr">
        <is>
          <t>Diseño</t>
        </is>
      </c>
      <c r="F153" s="15" t="inlineStr">
        <is>
          <t>Mobile</t>
        </is>
      </c>
      <c r="G153" s="16" t="inlineStr">
        <is>
          <t>Paneles con íconos correctos</t>
        </is>
      </c>
      <c r="H153" s="15" t="inlineStr"/>
      <c r="I153" s="15" t="inlineStr">
        <is>
          <t>Pendiente</t>
        </is>
      </c>
      <c r="J153" s="15" t="inlineStr">
        <is>
          <t>Baja</t>
        </is>
      </c>
      <c r="K153" s="16" t="inlineStr"/>
      <c r="L153" s="16" t="inlineStr"/>
    </row>
    <row r="154">
      <c r="A154" s="15" t="inlineStr">
        <is>
          <t>ACC-022</t>
        </is>
      </c>
      <c r="B154" s="16" t="inlineStr">
        <is>
          <t>Mi cuenta</t>
        </is>
      </c>
      <c r="C154" s="16" t="inlineStr">
        <is>
          <t>Detalle cuenta</t>
        </is>
      </c>
      <c r="D154" s="16" t="inlineStr">
        <is>
          <t>Fecha de nacimiento editable una sola vez (luego read-only)</t>
        </is>
      </c>
      <c r="E154" s="15" t="inlineStr">
        <is>
          <t>Funcional</t>
        </is>
      </c>
      <c r="F154" s="15" t="inlineStr">
        <is>
          <t>—</t>
        </is>
      </c>
      <c r="G154" s="16" t="inlineStr">
        <is>
          <t>Se puede setear 1 vez; después queda solo lectura</t>
        </is>
      </c>
      <c r="H154" s="15" t="inlineStr"/>
      <c r="I154" s="15" t="inlineStr">
        <is>
          <t>Pendiente</t>
        </is>
      </c>
      <c r="J154" s="15" t="inlineStr">
        <is>
          <t>Media</t>
        </is>
      </c>
      <c r="K154" s="16" t="inlineStr"/>
      <c r="L154" s="16" t="inlineStr"/>
    </row>
    <row r="155">
      <c r="A155" s="15" t="inlineStr">
        <is>
          <t>ACC-023</t>
        </is>
      </c>
      <c r="B155" s="16" t="inlineStr">
        <is>
          <t>Mi cuenta</t>
        </is>
      </c>
      <c r="C155" s="16" t="inlineStr">
        <is>
          <t>Detalle cuenta</t>
        </is>
      </c>
      <c r="D155" s="16" t="inlineStr">
        <is>
          <t>Cambiar contraseña verifica la actual; validaciones</t>
        </is>
      </c>
      <c r="E155" s="15" t="inlineStr">
        <is>
          <t>Funcional</t>
        </is>
      </c>
      <c r="F155" s="15" t="inlineStr">
        <is>
          <t>—</t>
        </is>
      </c>
      <c r="G155" s="16" t="inlineStr">
        <is>
          <t>Requiere clave actual correcta</t>
        </is>
      </c>
      <c r="H155" s="15" t="inlineStr"/>
      <c r="I155" s="15" t="inlineStr">
        <is>
          <t>Pendiente</t>
        </is>
      </c>
      <c r="J155" s="15" t="inlineStr">
        <is>
          <t>Alta</t>
        </is>
      </c>
      <c r="K155" s="16" t="inlineStr"/>
      <c r="L155" s="16" t="inlineStr"/>
    </row>
    <row r="156">
      <c r="A156" s="15" t="inlineStr">
        <is>
          <t>ACC-024</t>
        </is>
      </c>
      <c r="B156" s="16" t="inlineStr">
        <is>
          <t>Mi cuenta</t>
        </is>
      </c>
      <c r="C156" s="16" t="inlineStr">
        <is>
          <t>Sesión</t>
        </is>
      </c>
      <c r="D156" s="16" t="inlineStr">
        <is>
          <t>Logout; acceso a /mi-cuenta sin login redirige</t>
        </is>
      </c>
      <c r="E156" s="15" t="inlineStr">
        <is>
          <t>Funcional</t>
        </is>
      </c>
      <c r="F156" s="15" t="inlineStr">
        <is>
          <t>—</t>
        </is>
      </c>
      <c r="G156" s="16" t="inlineStr">
        <is>
          <t>Cierra sesión; protege rutas privadas</t>
        </is>
      </c>
      <c r="H156" s="15" t="inlineStr"/>
      <c r="I156" s="15" t="inlineStr">
        <is>
          <t>Pendiente</t>
        </is>
      </c>
      <c r="J156" s="15" t="inlineStr">
        <is>
          <t>Media</t>
        </is>
      </c>
      <c r="K156" s="16" t="inlineStr"/>
      <c r="L156" s="16" t="inlineStr"/>
    </row>
    <row r="157">
      <c r="A157" s="15" t="inlineStr">
        <is>
          <t>MAIL-001</t>
        </is>
      </c>
      <c r="B157" s="16" t="inlineStr">
        <is>
          <t>Emails</t>
        </is>
      </c>
      <c r="C157" s="16" t="inlineStr">
        <is>
          <t>Transaccional</t>
        </is>
      </c>
      <c r="D157" s="16" t="inlineStr">
        <is>
          <t>Bienvenida (cuenta nueva): dispara, contenido, branding</t>
        </is>
      </c>
      <c r="E157" s="15" t="inlineStr">
        <is>
          <t>Integración</t>
        </is>
      </c>
      <c r="F157" s="15" t="inlineStr">
        <is>
          <t>—</t>
        </is>
      </c>
      <c r="G157" s="16" t="inlineStr">
        <is>
          <t>Llega al crear cuenta, branded</t>
        </is>
      </c>
      <c r="H157" s="15" t="inlineStr"/>
      <c r="I157" s="15" t="inlineStr">
        <is>
          <t>Pendiente</t>
        </is>
      </c>
      <c r="J157" s="15" t="inlineStr">
        <is>
          <t>Media</t>
        </is>
      </c>
      <c r="K157" s="16" t="inlineStr"/>
      <c r="L157" s="16" t="inlineStr"/>
    </row>
    <row r="158">
      <c r="A158" s="15" t="inlineStr">
        <is>
          <t>MAIL-002</t>
        </is>
      </c>
      <c r="B158" s="16" t="inlineStr">
        <is>
          <t>Emails</t>
        </is>
      </c>
      <c r="C158" s="16" t="inlineStr">
        <is>
          <t>Transaccional</t>
        </is>
      </c>
      <c r="D158" s="16" t="inlineStr">
        <is>
          <t>Recuperar contraseña: link funciona</t>
        </is>
      </c>
      <c r="E158" s="15" t="inlineStr">
        <is>
          <t>Integración</t>
        </is>
      </c>
      <c r="F158" s="15" t="inlineStr">
        <is>
          <t>—</t>
        </is>
      </c>
      <c r="G158" s="16" t="inlineStr">
        <is>
          <t>Llega y el link resetea</t>
        </is>
      </c>
      <c r="H158" s="15" t="inlineStr"/>
      <c r="I158" s="15" t="inlineStr">
        <is>
          <t>Pendiente</t>
        </is>
      </c>
      <c r="J158" s="15" t="inlineStr">
        <is>
          <t>Alta</t>
        </is>
      </c>
      <c r="K158" s="16" t="inlineStr"/>
      <c r="L158" s="16" t="inlineStr"/>
    </row>
    <row r="159">
      <c r="A159" s="15" t="inlineStr">
        <is>
          <t>MAIL-003</t>
        </is>
      </c>
      <c r="B159" s="16" t="inlineStr">
        <is>
          <t>Emails</t>
        </is>
      </c>
      <c r="C159" s="16" t="inlineStr">
        <is>
          <t>Transaccional</t>
        </is>
      </c>
      <c r="D159" s="16" t="inlineStr">
        <is>
          <t>Procesando / Completado / En espera</t>
        </is>
      </c>
      <c r="E159" s="15" t="inlineStr">
        <is>
          <t>Integración</t>
        </is>
      </c>
      <c r="F159" s="15" t="inlineStr">
        <is>
          <t>—</t>
        </is>
      </c>
      <c r="G159" s="16" t="inlineStr">
        <is>
          <t>Disparo y contenido correctos por estado</t>
        </is>
      </c>
      <c r="H159" s="15" t="inlineStr"/>
      <c r="I159" s="15" t="inlineStr">
        <is>
          <t>Pendiente</t>
        </is>
      </c>
      <c r="J159" s="15" t="inlineStr">
        <is>
          <t>Alta</t>
        </is>
      </c>
      <c r="K159" s="16" t="inlineStr"/>
      <c r="L159" s="16" t="inlineStr"/>
    </row>
    <row r="160">
      <c r="A160" s="15" t="inlineStr">
        <is>
          <t>MAIL-004</t>
        </is>
      </c>
      <c r="B160" s="16" t="inlineStr">
        <is>
          <t>Emails</t>
        </is>
      </c>
      <c r="C160" s="16" t="inlineStr">
        <is>
          <t>Transaccional</t>
        </is>
      </c>
      <c r="D160" s="16" t="inlineStr">
        <is>
          <t>Cancelado / Reembolsado / Fallido / Factura-Pagar / Nota</t>
        </is>
      </c>
      <c r="E160" s="15" t="inlineStr">
        <is>
          <t>Integración</t>
        </is>
      </c>
      <c r="F160" s="15" t="inlineStr">
        <is>
          <t>—</t>
        </is>
      </c>
      <c r="G160" s="16" t="inlineStr">
        <is>
          <t>Cada uno dispara y se ve bien</t>
        </is>
      </c>
      <c r="H160" s="15" t="inlineStr"/>
      <c r="I160" s="15" t="inlineStr">
        <is>
          <t>Pendiente</t>
        </is>
      </c>
      <c r="J160" s="15" t="inlineStr">
        <is>
          <t>Media</t>
        </is>
      </c>
      <c r="K160" s="16" t="inlineStr"/>
      <c r="L160" s="16" t="inlineStr"/>
    </row>
    <row r="161">
      <c r="A161" s="15" t="inlineStr">
        <is>
          <t>MAIL-005</t>
        </is>
      </c>
      <c r="B161" s="16" t="inlineStr">
        <is>
          <t>Emails</t>
        </is>
      </c>
      <c r="C161" s="16" t="inlineStr">
        <is>
          <t>Transaccional</t>
        </is>
      </c>
      <c r="D161" s="16" t="inlineStr">
        <is>
          <t>Admin: nuevo pedido (número 1 vez, sin promo app, solo envío)</t>
        </is>
      </c>
      <c r="E161" s="15" t="inlineStr">
        <is>
          <t>Integración</t>
        </is>
      </c>
      <c r="F161" s="15" t="inlineStr">
        <is>
          <t>—</t>
        </is>
      </c>
      <c r="G161" s="16" t="inlineStr">
        <is>
          <t>Aviso interno prolijo y correcto</t>
        </is>
      </c>
      <c r="H161" s="15" t="inlineStr"/>
      <c r="I161" s="15" t="inlineStr">
        <is>
          <t>Pendiente</t>
        </is>
      </c>
      <c r="J161" s="15" t="inlineStr">
        <is>
          <t>Media</t>
        </is>
      </c>
      <c r="K161" s="16" t="inlineStr"/>
      <c r="L161" s="16" t="inlineStr"/>
    </row>
    <row r="162">
      <c r="A162" s="15" t="inlineStr">
        <is>
          <t>MAIL-006</t>
        </is>
      </c>
      <c r="B162" s="16" t="inlineStr">
        <is>
          <t>Emails</t>
        </is>
      </c>
      <c r="C162" s="16" t="inlineStr">
        <is>
          <t>Transaccional</t>
        </is>
      </c>
      <c r="D162" s="16" t="inlineStr">
        <is>
          <t>Tabla de pedido: encabezados Producto/Uds./$ y alineación</t>
        </is>
      </c>
      <c r="E162" s="15" t="inlineStr">
        <is>
          <t>Diseño</t>
        </is>
      </c>
      <c r="F162" s="15" t="inlineStr">
        <is>
          <t>—</t>
        </is>
      </c>
      <c r="G162" s="16" t="inlineStr">
        <is>
          <t>Imagen+nombre+cant+precio alineados, sin bordes de más</t>
        </is>
      </c>
      <c r="H162" s="15" t="inlineStr"/>
      <c r="I162" s="15" t="inlineStr">
        <is>
          <t>Pendiente</t>
        </is>
      </c>
      <c r="J162" s="15" t="inlineStr">
        <is>
          <t>Baja</t>
        </is>
      </c>
      <c r="K162" s="16" t="inlineStr"/>
      <c r="L162" s="16" t="inlineStr"/>
    </row>
    <row r="163">
      <c r="A163" s="15" t="inlineStr">
        <is>
          <t>MAIL-007</t>
        </is>
      </c>
      <c r="B163" s="16" t="inlineStr">
        <is>
          <t>Emails</t>
        </is>
      </c>
      <c r="C163" s="16" t="inlineStr">
        <is>
          <t>Transaccional</t>
        </is>
      </c>
      <c r="D163" s="16" t="inlineStr">
        <is>
          <t>Render en Gmail / Apple Mail / Outlook (desktop y mobile)</t>
        </is>
      </c>
      <c r="E163" s="15" t="inlineStr">
        <is>
          <t>Diseño</t>
        </is>
      </c>
      <c r="F163" s="15" t="inlineStr">
        <is>
          <t>Desktop</t>
        </is>
      </c>
      <c r="G163" s="16" t="inlineStr">
        <is>
          <t>Se ve bien en los clientes principales</t>
        </is>
      </c>
      <c r="H163" s="15" t="inlineStr"/>
      <c r="I163" s="15" t="inlineStr">
        <is>
          <t>Pendiente</t>
        </is>
      </c>
      <c r="J163" s="15" t="inlineStr">
        <is>
          <t>Media</t>
        </is>
      </c>
      <c r="K163" s="16" t="inlineStr"/>
      <c r="L163" s="16" t="inlineStr"/>
    </row>
    <row r="164">
      <c r="A164" s="15" t="inlineStr">
        <is>
          <t>MAIL-008</t>
        </is>
      </c>
      <c r="B164" s="16" t="inlineStr">
        <is>
          <t>Emails</t>
        </is>
      </c>
      <c r="C164" s="16" t="inlineStr">
        <is>
          <t>Transaccional</t>
        </is>
      </c>
      <c r="D164" s="16" t="inlineStr">
        <is>
          <t>Render en Gmail / Apple Mail / Outlook (desktop y mobile)</t>
        </is>
      </c>
      <c r="E164" s="15" t="inlineStr">
        <is>
          <t>Diseño</t>
        </is>
      </c>
      <c r="F164" s="15" t="inlineStr">
        <is>
          <t>Tablet</t>
        </is>
      </c>
      <c r="G164" s="16" t="inlineStr">
        <is>
          <t>Se ve bien en los clientes principales</t>
        </is>
      </c>
      <c r="H164" s="15" t="inlineStr"/>
      <c r="I164" s="15" t="inlineStr">
        <is>
          <t>Pendiente</t>
        </is>
      </c>
      <c r="J164" s="15" t="inlineStr">
        <is>
          <t>Media</t>
        </is>
      </c>
      <c r="K164" s="16" t="inlineStr"/>
      <c r="L164" s="16" t="inlineStr"/>
    </row>
    <row r="165">
      <c r="A165" s="15" t="inlineStr">
        <is>
          <t>MAIL-009</t>
        </is>
      </c>
      <c r="B165" s="16" t="inlineStr">
        <is>
          <t>Emails</t>
        </is>
      </c>
      <c r="C165" s="16" t="inlineStr">
        <is>
          <t>Transaccional</t>
        </is>
      </c>
      <c r="D165" s="16" t="inlineStr">
        <is>
          <t>Render en Gmail / Apple Mail / Outlook (desktop y mobile)</t>
        </is>
      </c>
      <c r="E165" s="15" t="inlineStr">
        <is>
          <t>Diseño</t>
        </is>
      </c>
      <c r="F165" s="15" t="inlineStr">
        <is>
          <t>Mobile</t>
        </is>
      </c>
      <c r="G165" s="16" t="inlineStr">
        <is>
          <t>Se ve bien en los clientes principales</t>
        </is>
      </c>
      <c r="H165" s="15" t="inlineStr"/>
      <c r="I165" s="15" t="inlineStr">
        <is>
          <t>Pendiente</t>
        </is>
      </c>
      <c r="J165" s="15" t="inlineStr">
        <is>
          <t>Media</t>
        </is>
      </c>
      <c r="K165" s="16" t="inlineStr"/>
      <c r="L165" s="16" t="inlineStr"/>
    </row>
    <row r="166">
      <c r="A166" s="15" t="inlineStr">
        <is>
          <t>MAIL-010</t>
        </is>
      </c>
      <c r="B166" s="16" t="inlineStr">
        <is>
          <t>Emails</t>
        </is>
      </c>
      <c r="C166" s="16" t="inlineStr">
        <is>
          <t>Transaccional</t>
        </is>
      </c>
      <c r="D166" s="16" t="inlineStr">
        <is>
          <t>From/Reply-To correctos (no-reply@ / hola@)</t>
        </is>
      </c>
      <c r="E166" s="15" t="inlineStr">
        <is>
          <t>Integración</t>
        </is>
      </c>
      <c r="F166" s="15" t="inlineStr">
        <is>
          <t>—</t>
        </is>
      </c>
      <c r="G166" s="16" t="inlineStr">
        <is>
          <t>Remitentes correctos</t>
        </is>
      </c>
      <c r="H166" s="15" t="inlineStr"/>
      <c r="I166" s="15" t="inlineStr">
        <is>
          <t>Pendiente</t>
        </is>
      </c>
      <c r="J166" s="15" t="inlineStr">
        <is>
          <t>Media</t>
        </is>
      </c>
      <c r="K166" s="16" t="inlineStr"/>
      <c r="L166" s="16" t="inlineStr"/>
    </row>
    <row r="167">
      <c r="A167" s="15" t="inlineStr">
        <is>
          <t>MAIL-011</t>
        </is>
      </c>
      <c r="B167" s="16" t="inlineStr">
        <is>
          <t>Emails</t>
        </is>
      </c>
      <c r="C167" s="16" t="inlineStr">
        <is>
          <t>Contacto</t>
        </is>
      </c>
      <c r="D167" s="16" t="inlineStr">
        <is>
          <t>Aviso admin (sin teléfono) y confirmación cliente</t>
        </is>
      </c>
      <c r="E167" s="15" t="inlineStr">
        <is>
          <t>Integración</t>
        </is>
      </c>
      <c r="F167" s="15" t="inlineStr">
        <is>
          <t>—</t>
        </is>
      </c>
      <c r="G167" s="16" t="inlineStr">
        <is>
          <t>Ambos correctos (ya probado en Home/Contacto)</t>
        </is>
      </c>
      <c r="H167" s="15" t="inlineStr"/>
      <c r="I167" s="15" t="inlineStr">
        <is>
          <t>Pendiente</t>
        </is>
      </c>
      <c r="J167" s="15" t="inlineStr">
        <is>
          <t>Media</t>
        </is>
      </c>
      <c r="K167" s="16" t="inlineStr"/>
      <c r="L167" s="16" t="inlineStr"/>
    </row>
    <row r="168">
      <c r="A168" s="15" t="inlineStr">
        <is>
          <t>MAIL-012</t>
        </is>
      </c>
      <c r="B168" s="16" t="inlineStr">
        <is>
          <t>Emails</t>
        </is>
      </c>
      <c r="C168" s="16" t="inlineStr">
        <is>
          <t>Automáticos</t>
        </is>
      </c>
      <c r="D168" s="16" t="inlineStr">
        <is>
          <t>Cumpleaños: elegibles, dedup, opt-out, prueba</t>
        </is>
      </c>
      <c r="E168" s="15" t="inlineStr">
        <is>
          <t>Integración</t>
        </is>
      </c>
      <c r="F168" s="15" t="inlineStr">
        <is>
          <t>—</t>
        </is>
      </c>
      <c r="G168" s="16" t="inlineStr">
        <is>
          <t>Calcula bien, no reenvía, baja funciona</t>
        </is>
      </c>
      <c r="H168" s="15" t="inlineStr"/>
      <c r="I168" s="15" t="inlineStr">
        <is>
          <t>Pendiente</t>
        </is>
      </c>
      <c r="J168" s="15" t="inlineStr">
        <is>
          <t>Media</t>
        </is>
      </c>
      <c r="K168" s="16" t="inlineStr"/>
      <c r="L168" s="16" t="inlineStr"/>
    </row>
    <row r="169">
      <c r="A169" s="15" t="inlineStr">
        <is>
          <t>MAIL-013</t>
        </is>
      </c>
      <c r="B169" s="16" t="inlineStr">
        <is>
          <t>Emails</t>
        </is>
      </c>
      <c r="C169" s="16" t="inlineStr">
        <is>
          <t>Automáticos</t>
        </is>
      </c>
      <c r="D169" s="16" t="inlineStr">
        <is>
          <t>Reposición / Reseña / Reactivación: idem</t>
        </is>
      </c>
      <c r="E169" s="15" t="inlineStr">
        <is>
          <t>Integración</t>
        </is>
      </c>
      <c r="F169" s="15" t="inlineStr">
        <is>
          <t>—</t>
        </is>
      </c>
      <c r="G169" s="16" t="inlineStr">
        <is>
          <t>Cada automatización funciona y deduplica</t>
        </is>
      </c>
      <c r="H169" s="15" t="inlineStr"/>
      <c r="I169" s="15" t="inlineStr">
        <is>
          <t>Pendiente</t>
        </is>
      </c>
      <c r="J169" s="15" t="inlineStr">
        <is>
          <t>Media</t>
        </is>
      </c>
      <c r="K169" s="16" t="inlineStr"/>
      <c r="L169" s="16" t="inlineStr"/>
    </row>
    <row r="170">
      <c r="A170" s="15" t="inlineStr">
        <is>
          <t>MAIL-014</t>
        </is>
      </c>
      <c r="B170" s="16" t="inlineStr">
        <is>
          <t>Emails</t>
        </is>
      </c>
      <c r="C170" s="16" t="inlineStr">
        <is>
          <t>Automáticos</t>
        </is>
      </c>
      <c r="D170" s="16" t="inlineStr">
        <is>
          <t>Cron corre a la hora seteada; 'Enviar prueba' llega a hola@</t>
        </is>
      </c>
      <c r="E170" s="15" t="inlineStr">
        <is>
          <t>Integración</t>
        </is>
      </c>
      <c r="F170" s="15" t="inlineStr">
        <is>
          <t>—</t>
        </is>
      </c>
      <c r="G170" s="16" t="inlineStr">
        <is>
          <t>El job diario se ejecuta; la prueba llega</t>
        </is>
      </c>
      <c r="H170" s="15" t="inlineStr"/>
      <c r="I170" s="15" t="inlineStr">
        <is>
          <t>Pendiente</t>
        </is>
      </c>
      <c r="J170" s="15" t="inlineStr">
        <is>
          <t>Alta</t>
        </is>
      </c>
      <c r="K170" s="16" t="inlineStr"/>
      <c r="L170" s="16" t="inlineStr"/>
    </row>
    <row r="171">
      <c r="A171" s="15" t="inlineStr">
        <is>
          <t>GUIA-001</t>
        </is>
      </c>
      <c r="B171" s="16" t="inlineStr">
        <is>
          <t>Guías / Contenido</t>
        </is>
      </c>
      <c r="C171" s="16" t="inlineStr">
        <is>
          <t>Guías</t>
        </is>
      </c>
      <c r="D171" s="16" t="inlineStr">
        <is>
          <t>Listado de guías y navegación</t>
        </is>
      </c>
      <c r="E171" s="15" t="inlineStr">
        <is>
          <t>Funcional</t>
        </is>
      </c>
      <c r="F171" s="15" t="inlineStr">
        <is>
          <t>Desktop</t>
        </is>
      </c>
      <c r="G171" s="16" t="inlineStr">
        <is>
          <t>Listado correcto</t>
        </is>
      </c>
      <c r="H171" s="15" t="inlineStr"/>
      <c r="I171" s="15" t="inlineStr">
        <is>
          <t>Pendiente</t>
        </is>
      </c>
      <c r="J171" s="15" t="inlineStr">
        <is>
          <t>Baja</t>
        </is>
      </c>
      <c r="K171" s="16" t="inlineStr"/>
      <c r="L171" s="16" t="inlineStr"/>
    </row>
    <row r="172">
      <c r="A172" s="15" t="inlineStr">
        <is>
          <t>GUIA-002</t>
        </is>
      </c>
      <c r="B172" s="16" t="inlineStr">
        <is>
          <t>Guías / Contenido</t>
        </is>
      </c>
      <c r="C172" s="16" t="inlineStr">
        <is>
          <t>Guías</t>
        </is>
      </c>
      <c r="D172" s="16" t="inlineStr">
        <is>
          <t>Listado de guías y navegación</t>
        </is>
      </c>
      <c r="E172" s="15" t="inlineStr">
        <is>
          <t>Funcional</t>
        </is>
      </c>
      <c r="F172" s="15" t="inlineStr">
        <is>
          <t>Tablet</t>
        </is>
      </c>
      <c r="G172" s="16" t="inlineStr">
        <is>
          <t>Listado correcto</t>
        </is>
      </c>
      <c r="H172" s="15" t="inlineStr"/>
      <c r="I172" s="15" t="inlineStr">
        <is>
          <t>Pendiente</t>
        </is>
      </c>
      <c r="J172" s="15" t="inlineStr">
        <is>
          <t>Baja</t>
        </is>
      </c>
      <c r="K172" s="16" t="inlineStr"/>
      <c r="L172" s="16" t="inlineStr"/>
    </row>
    <row r="173">
      <c r="A173" s="15" t="inlineStr">
        <is>
          <t>GUIA-003</t>
        </is>
      </c>
      <c r="B173" s="16" t="inlineStr">
        <is>
          <t>Guías / Contenido</t>
        </is>
      </c>
      <c r="C173" s="16" t="inlineStr">
        <is>
          <t>Guías</t>
        </is>
      </c>
      <c r="D173" s="16" t="inlineStr">
        <is>
          <t>Listado de guías y navegación</t>
        </is>
      </c>
      <c r="E173" s="15" t="inlineStr">
        <is>
          <t>Funcional</t>
        </is>
      </c>
      <c r="F173" s="15" t="inlineStr">
        <is>
          <t>Mobile</t>
        </is>
      </c>
      <c r="G173" s="16" t="inlineStr">
        <is>
          <t>Listado correcto</t>
        </is>
      </c>
      <c r="H173" s="15" t="inlineStr"/>
      <c r="I173" s="15" t="inlineStr">
        <is>
          <t>Pendiente</t>
        </is>
      </c>
      <c r="J173" s="15" t="inlineStr">
        <is>
          <t>Baja</t>
        </is>
      </c>
      <c r="K173" s="16" t="inlineStr"/>
      <c r="L173" s="16" t="inlineStr"/>
    </row>
    <row r="174">
      <c r="A174" s="15" t="inlineStr">
        <is>
          <t>GUIA-004</t>
        </is>
      </c>
      <c r="B174" s="16" t="inlineStr">
        <is>
          <t>Guías / Contenido</t>
        </is>
      </c>
      <c r="C174" s="16" t="inlineStr">
        <is>
          <t>Guías</t>
        </is>
      </c>
      <c r="D174" s="16" t="inlineStr">
        <is>
          <t>Cada guía: contenido, imágenes, tuteo, relacionadas</t>
        </is>
      </c>
      <c r="E174" s="15" t="inlineStr">
        <is>
          <t>Contenido</t>
        </is>
      </c>
      <c r="F174" s="15" t="inlineStr">
        <is>
          <t>Desktop</t>
        </is>
      </c>
      <c r="G174" s="16" t="inlineStr">
        <is>
          <t>Contenido correcto en cada guía</t>
        </is>
      </c>
      <c r="H174" s="15" t="inlineStr"/>
      <c r="I174" s="15" t="inlineStr">
        <is>
          <t>Pendiente</t>
        </is>
      </c>
      <c r="J174" s="15" t="inlineStr">
        <is>
          <t>Baja</t>
        </is>
      </c>
      <c r="K174" s="16" t="inlineStr"/>
      <c r="L174" s="16" t="inlineStr"/>
    </row>
    <row r="175">
      <c r="A175" s="15" t="inlineStr">
        <is>
          <t>GUIA-005</t>
        </is>
      </c>
      <c r="B175" s="16" t="inlineStr">
        <is>
          <t>Guías / Contenido</t>
        </is>
      </c>
      <c r="C175" s="16" t="inlineStr">
        <is>
          <t>Guías</t>
        </is>
      </c>
      <c r="D175" s="16" t="inlineStr">
        <is>
          <t>Cada guía: contenido, imágenes, tuteo, relacionadas</t>
        </is>
      </c>
      <c r="E175" s="15" t="inlineStr">
        <is>
          <t>Contenido</t>
        </is>
      </c>
      <c r="F175" s="15" t="inlineStr">
        <is>
          <t>Tablet</t>
        </is>
      </c>
      <c r="G175" s="16" t="inlineStr">
        <is>
          <t>Contenido correcto en cada guía</t>
        </is>
      </c>
      <c r="H175" s="15" t="inlineStr"/>
      <c r="I175" s="15" t="inlineStr">
        <is>
          <t>Pendiente</t>
        </is>
      </c>
      <c r="J175" s="15" t="inlineStr">
        <is>
          <t>Baja</t>
        </is>
      </c>
      <c r="K175" s="16" t="inlineStr"/>
      <c r="L175" s="16" t="inlineStr"/>
    </row>
    <row r="176">
      <c r="A176" s="15" t="inlineStr">
        <is>
          <t>GUIA-006</t>
        </is>
      </c>
      <c r="B176" s="16" t="inlineStr">
        <is>
          <t>Guías / Contenido</t>
        </is>
      </c>
      <c r="C176" s="16" t="inlineStr">
        <is>
          <t>Guías</t>
        </is>
      </c>
      <c r="D176" s="16" t="inlineStr">
        <is>
          <t>Cada guía: contenido, imágenes, tuteo, relacionadas</t>
        </is>
      </c>
      <c r="E176" s="15" t="inlineStr">
        <is>
          <t>Contenido</t>
        </is>
      </c>
      <c r="F176" s="15" t="inlineStr">
        <is>
          <t>Mobile</t>
        </is>
      </c>
      <c r="G176" s="16" t="inlineStr">
        <is>
          <t>Contenido correcto en cada guía</t>
        </is>
      </c>
      <c r="H176" s="15" t="inlineStr"/>
      <c r="I176" s="15" t="inlineStr">
        <is>
          <t>Pendiente</t>
        </is>
      </c>
      <c r="J176" s="15" t="inlineStr">
        <is>
          <t>Baja</t>
        </is>
      </c>
      <c r="K176" s="16" t="inlineStr"/>
      <c r="L176" s="16" t="inlineStr"/>
    </row>
    <row r="177">
      <c r="A177" s="15" t="inlineStr">
        <is>
          <t>LEGAL-001</t>
        </is>
      </c>
      <c r="B177" s="16" t="inlineStr">
        <is>
          <t>Legales y Sistema</t>
        </is>
      </c>
      <c r="C177" s="16" t="inlineStr">
        <is>
          <t>Legales</t>
        </is>
      </c>
      <c r="D177" s="16" t="inlineStr">
        <is>
          <t>Condiciones de venta y Privacidad existen y linkean</t>
        </is>
      </c>
      <c r="E177" s="15" t="inlineStr">
        <is>
          <t>Contenido</t>
        </is>
      </c>
      <c r="F177" s="15" t="inlineStr">
        <is>
          <t>Desktop</t>
        </is>
      </c>
      <c r="G177" s="16" t="inlineStr">
        <is>
          <t>Páginas legales publicadas y enlazadas</t>
        </is>
      </c>
      <c r="H177" s="15" t="inlineStr"/>
      <c r="I177" s="15" t="inlineStr">
        <is>
          <t>Pendiente</t>
        </is>
      </c>
      <c r="J177" s="15" t="inlineStr">
        <is>
          <t>Alta</t>
        </is>
      </c>
      <c r="K177" s="16" t="inlineStr"/>
      <c r="L177" s="16" t="inlineStr"/>
    </row>
    <row r="178">
      <c r="A178" s="15" t="inlineStr">
        <is>
          <t>LEGAL-002</t>
        </is>
      </c>
      <c r="B178" s="16" t="inlineStr">
        <is>
          <t>Legales y Sistema</t>
        </is>
      </c>
      <c r="C178" s="16" t="inlineStr">
        <is>
          <t>Legales</t>
        </is>
      </c>
      <c r="D178" s="16" t="inlineStr">
        <is>
          <t>Condiciones de venta y Privacidad existen y linkean</t>
        </is>
      </c>
      <c r="E178" s="15" t="inlineStr">
        <is>
          <t>Contenido</t>
        </is>
      </c>
      <c r="F178" s="15" t="inlineStr">
        <is>
          <t>Tablet</t>
        </is>
      </c>
      <c r="G178" s="16" t="inlineStr">
        <is>
          <t>Páginas legales publicadas y enlazadas</t>
        </is>
      </c>
      <c r="H178" s="15" t="inlineStr"/>
      <c r="I178" s="15" t="inlineStr">
        <is>
          <t>Pendiente</t>
        </is>
      </c>
      <c r="J178" s="15" t="inlineStr">
        <is>
          <t>Alta</t>
        </is>
      </c>
      <c r="K178" s="16" t="inlineStr"/>
      <c r="L178" s="16" t="inlineStr"/>
    </row>
    <row r="179">
      <c r="A179" s="15" t="inlineStr">
        <is>
          <t>LEGAL-003</t>
        </is>
      </c>
      <c r="B179" s="16" t="inlineStr">
        <is>
          <t>Legales y Sistema</t>
        </is>
      </c>
      <c r="C179" s="16" t="inlineStr">
        <is>
          <t>Legales</t>
        </is>
      </c>
      <c r="D179" s="16" t="inlineStr">
        <is>
          <t>Condiciones de venta y Privacidad existen y linkean</t>
        </is>
      </c>
      <c r="E179" s="15" t="inlineStr">
        <is>
          <t>Contenido</t>
        </is>
      </c>
      <c r="F179" s="15" t="inlineStr">
        <is>
          <t>Mobile</t>
        </is>
      </c>
      <c r="G179" s="16" t="inlineStr">
        <is>
          <t>Páginas legales publicadas y enlazadas</t>
        </is>
      </c>
      <c r="H179" s="15" t="inlineStr"/>
      <c r="I179" s="15" t="inlineStr">
        <is>
          <t>Pendiente</t>
        </is>
      </c>
      <c r="J179" s="15" t="inlineStr">
        <is>
          <t>Alta</t>
        </is>
      </c>
      <c r="K179" s="16" t="inlineStr"/>
      <c r="L179" s="16" t="inlineStr"/>
    </row>
    <row r="180">
      <c r="A180" s="15" t="inlineStr">
        <is>
          <t>LEGAL-004</t>
        </is>
      </c>
      <c r="B180" s="16" t="inlineStr">
        <is>
          <t>Legales y Sistema</t>
        </is>
      </c>
      <c r="C180" s="16" t="inlineStr">
        <is>
          <t>Legales</t>
        </is>
      </c>
      <c r="D180" s="16" t="inlineStr">
        <is>
          <t>Envíos/Despachos y Cambios/Devoluciones</t>
        </is>
      </c>
      <c r="E180" s="15" t="inlineStr">
        <is>
          <t>Contenido</t>
        </is>
      </c>
      <c r="F180" s="15" t="inlineStr">
        <is>
          <t>Desktop</t>
        </is>
      </c>
      <c r="G180" s="16" t="inlineStr">
        <is>
          <t>Políticas publicadas</t>
        </is>
      </c>
      <c r="H180" s="15" t="inlineStr"/>
      <c r="I180" s="15" t="inlineStr">
        <is>
          <t>Pendiente</t>
        </is>
      </c>
      <c r="J180" s="15" t="inlineStr">
        <is>
          <t>Media</t>
        </is>
      </c>
      <c r="K180" s="16" t="inlineStr"/>
      <c r="L180" s="16" t="inlineStr"/>
    </row>
    <row r="181">
      <c r="A181" s="15" t="inlineStr">
        <is>
          <t>LEGAL-005</t>
        </is>
      </c>
      <c r="B181" s="16" t="inlineStr">
        <is>
          <t>Legales y Sistema</t>
        </is>
      </c>
      <c r="C181" s="16" t="inlineStr">
        <is>
          <t>Legales</t>
        </is>
      </c>
      <c r="D181" s="16" t="inlineStr">
        <is>
          <t>Envíos/Despachos y Cambios/Devoluciones</t>
        </is>
      </c>
      <c r="E181" s="15" t="inlineStr">
        <is>
          <t>Contenido</t>
        </is>
      </c>
      <c r="F181" s="15" t="inlineStr">
        <is>
          <t>Tablet</t>
        </is>
      </c>
      <c r="G181" s="16" t="inlineStr">
        <is>
          <t>Políticas publicadas</t>
        </is>
      </c>
      <c r="H181" s="15" t="inlineStr"/>
      <c r="I181" s="15" t="inlineStr">
        <is>
          <t>Pendiente</t>
        </is>
      </c>
      <c r="J181" s="15" t="inlineStr">
        <is>
          <t>Media</t>
        </is>
      </c>
      <c r="K181" s="16" t="inlineStr"/>
      <c r="L181" s="16" t="inlineStr"/>
    </row>
    <row r="182">
      <c r="A182" s="15" t="inlineStr">
        <is>
          <t>LEGAL-006</t>
        </is>
      </c>
      <c r="B182" s="16" t="inlineStr">
        <is>
          <t>Legales y Sistema</t>
        </is>
      </c>
      <c r="C182" s="16" t="inlineStr">
        <is>
          <t>Legales</t>
        </is>
      </c>
      <c r="D182" s="16" t="inlineStr">
        <is>
          <t>Envíos/Despachos y Cambios/Devoluciones</t>
        </is>
      </c>
      <c r="E182" s="15" t="inlineStr">
        <is>
          <t>Contenido</t>
        </is>
      </c>
      <c r="F182" s="15" t="inlineStr">
        <is>
          <t>Mobile</t>
        </is>
      </c>
      <c r="G182" s="16" t="inlineStr">
        <is>
          <t>Políticas publicadas</t>
        </is>
      </c>
      <c r="H182" s="15" t="inlineStr"/>
      <c r="I182" s="15" t="inlineStr">
        <is>
          <t>Pendiente</t>
        </is>
      </c>
      <c r="J182" s="15" t="inlineStr">
        <is>
          <t>Media</t>
        </is>
      </c>
      <c r="K182" s="16" t="inlineStr"/>
      <c r="L182" s="16" t="inlineStr"/>
    </row>
    <row r="183">
      <c r="A183" s="15" t="inlineStr">
        <is>
          <t>LEGAL-007</t>
        </is>
      </c>
      <c r="B183" s="16" t="inlineStr">
        <is>
          <t>Legales y Sistema</t>
        </is>
      </c>
      <c r="C183" s="16" t="inlineStr">
        <is>
          <t>Sistema</t>
        </is>
      </c>
      <c r="D183" s="16" t="inlineStr">
        <is>
          <t>404 propio con link a home; 500 amistoso</t>
        </is>
      </c>
      <c r="E183" s="15" t="inlineStr">
        <is>
          <t>Diseño</t>
        </is>
      </c>
      <c r="F183" s="15" t="inlineStr">
        <is>
          <t>Desktop</t>
        </is>
      </c>
      <c r="G183" s="16" t="inlineStr">
        <is>
          <t>Errores con páginas propias</t>
        </is>
      </c>
      <c r="H183" s="15" t="inlineStr"/>
      <c r="I183" s="15" t="inlineStr">
        <is>
          <t>Pendiente</t>
        </is>
      </c>
      <c r="J183" s="15" t="inlineStr">
        <is>
          <t>Media</t>
        </is>
      </c>
      <c r="K183" s="16" t="inlineStr"/>
      <c r="L183" s="16" t="inlineStr"/>
    </row>
    <row r="184">
      <c r="A184" s="15" t="inlineStr">
        <is>
          <t>LEGAL-008</t>
        </is>
      </c>
      <c r="B184" s="16" t="inlineStr">
        <is>
          <t>Legales y Sistema</t>
        </is>
      </c>
      <c r="C184" s="16" t="inlineStr">
        <is>
          <t>Sistema</t>
        </is>
      </c>
      <c r="D184" s="16" t="inlineStr">
        <is>
          <t>404 propio con link a home; 500 amistoso</t>
        </is>
      </c>
      <c r="E184" s="15" t="inlineStr">
        <is>
          <t>Diseño</t>
        </is>
      </c>
      <c r="F184" s="15" t="inlineStr">
        <is>
          <t>Tablet</t>
        </is>
      </c>
      <c r="G184" s="16" t="inlineStr">
        <is>
          <t>Errores con páginas propias</t>
        </is>
      </c>
      <c r="H184" s="15" t="inlineStr"/>
      <c r="I184" s="15" t="inlineStr">
        <is>
          <t>Pendiente</t>
        </is>
      </c>
      <c r="J184" s="15" t="inlineStr">
        <is>
          <t>Media</t>
        </is>
      </c>
      <c r="K184" s="16" t="inlineStr"/>
      <c r="L184" s="16" t="inlineStr"/>
    </row>
    <row r="185">
      <c r="A185" s="15" t="inlineStr">
        <is>
          <t>LEGAL-009</t>
        </is>
      </c>
      <c r="B185" s="16" t="inlineStr">
        <is>
          <t>Legales y Sistema</t>
        </is>
      </c>
      <c r="C185" s="16" t="inlineStr">
        <is>
          <t>Sistema</t>
        </is>
      </c>
      <c r="D185" s="16" t="inlineStr">
        <is>
          <t>404 propio con link a home; 500 amistoso</t>
        </is>
      </c>
      <c r="E185" s="15" t="inlineStr">
        <is>
          <t>Diseño</t>
        </is>
      </c>
      <c r="F185" s="15" t="inlineStr">
        <is>
          <t>Mobile</t>
        </is>
      </c>
      <c r="G185" s="16" t="inlineStr">
        <is>
          <t>Errores con páginas propias</t>
        </is>
      </c>
      <c r="H185" s="15" t="inlineStr"/>
      <c r="I185" s="15" t="inlineStr">
        <is>
          <t>Pendiente</t>
        </is>
      </c>
      <c r="J185" s="15" t="inlineStr">
        <is>
          <t>Media</t>
        </is>
      </c>
      <c r="K185" s="16" t="inlineStr"/>
      <c r="L185" s="16" t="inlineStr"/>
    </row>
    <row r="186">
      <c r="A186" s="15" t="inlineStr">
        <is>
          <t>LEGAL-010</t>
        </is>
      </c>
      <c r="B186" s="16" t="inlineStr">
        <is>
          <t>Legales y Sistema</t>
        </is>
      </c>
      <c r="C186" s="16" t="inlineStr">
        <is>
          <t>Sistema</t>
        </is>
      </c>
      <c r="D186" s="16" t="inlineStr">
        <is>
          <t>Búsqueda (si hay) y 'sin resultados'</t>
        </is>
      </c>
      <c r="E186" s="15" t="inlineStr">
        <is>
          <t>Funcional</t>
        </is>
      </c>
      <c r="F186" s="15" t="inlineStr">
        <is>
          <t>—</t>
        </is>
      </c>
      <c r="G186" s="16" t="inlineStr">
        <is>
          <t>Búsqueda funciona y maneja vacío</t>
        </is>
      </c>
      <c r="H186" s="15" t="inlineStr"/>
      <c r="I186" s="15" t="inlineStr">
        <is>
          <t>Pendiente</t>
        </is>
      </c>
      <c r="J186" s="15" t="inlineStr">
        <is>
          <t>Baja</t>
        </is>
      </c>
      <c r="K186" s="16" t="inlineStr"/>
      <c r="L186" s="16" t="inlineStr"/>
    </row>
    <row r="187">
      <c r="A187" s="15" t="inlineStr">
        <is>
          <t>EDGE-001</t>
        </is>
      </c>
      <c r="B187" s="16" t="inlineStr">
        <is>
          <t>Casos borde y combinaciones</t>
        </is>
      </c>
      <c r="C187" s="16" t="inlineStr">
        <is>
          <t>Stock gramos</t>
        </is>
      </c>
      <c r="D187" s="16" t="inlineStr">
        <is>
          <t>Comprar 1kg baja el pool y afecta disponibilidad de 250g</t>
        </is>
      </c>
      <c r="E187" s="15" t="inlineStr">
        <is>
          <t>Borde</t>
        </is>
      </c>
      <c r="F187" s="15" t="inlineStr">
        <is>
          <t>—</t>
        </is>
      </c>
      <c r="G187" s="16" t="inlineStr">
        <is>
          <t>El stock compartido en gramos se actualiza correcto</t>
        </is>
      </c>
      <c r="H187" s="15" t="inlineStr"/>
      <c r="I187" s="15" t="inlineStr">
        <is>
          <t>Pendiente</t>
        </is>
      </c>
      <c r="J187" s="15" t="inlineStr">
        <is>
          <t>Alta</t>
        </is>
      </c>
      <c r="K187" s="16" t="inlineStr"/>
      <c r="L187" s="16" t="inlineStr"/>
    </row>
    <row r="188">
      <c r="A188" s="15" t="inlineStr">
        <is>
          <t>EDGE-002</t>
        </is>
      </c>
      <c r="B188" s="16" t="inlineStr">
        <is>
          <t>Casos borde y combinaciones</t>
        </is>
      </c>
      <c r="C188" s="16" t="inlineStr">
        <is>
          <t>Stock gramos</t>
        </is>
      </c>
      <c r="D188" s="16" t="inlineStr">
        <is>
          <t>Carrito con 250g + 1kg del mismo café</t>
        </is>
      </c>
      <c r="E188" s="15" t="inlineStr">
        <is>
          <t>Borde</t>
        </is>
      </c>
      <c r="F188" s="15" t="inlineStr">
        <is>
          <t>—</t>
        </is>
      </c>
      <c r="G188" s="16" t="inlineStr">
        <is>
          <t>Calcula gramos totales bien</t>
        </is>
      </c>
      <c r="H188" s="15" t="inlineStr"/>
      <c r="I188" s="15" t="inlineStr">
        <is>
          <t>Pendiente</t>
        </is>
      </c>
      <c r="J188" s="15" t="inlineStr">
        <is>
          <t>Alta</t>
        </is>
      </c>
      <c r="K188" s="16" t="inlineStr"/>
      <c r="L188" s="16" t="inlineStr"/>
    </row>
    <row r="189">
      <c r="A189" s="15" t="inlineStr">
        <is>
          <t>EDGE-003</t>
        </is>
      </c>
      <c r="B189" s="16" t="inlineStr">
        <is>
          <t>Casos borde y combinaciones</t>
        </is>
      </c>
      <c r="C189" s="16" t="inlineStr">
        <is>
          <t>Stock gramos</t>
        </is>
      </c>
      <c r="D189" s="16" t="inlineStr">
        <is>
          <t>Cancelar pedido restaura stock</t>
        </is>
      </c>
      <c r="E189" s="15" t="inlineStr">
        <is>
          <t>Borde</t>
        </is>
      </c>
      <c r="F189" s="15" t="inlineStr">
        <is>
          <t>—</t>
        </is>
      </c>
      <c r="G189" s="16" t="inlineStr">
        <is>
          <t>El stock vuelve al cancelar</t>
        </is>
      </c>
      <c r="H189" s="15" t="inlineStr"/>
      <c r="I189" s="15" t="inlineStr">
        <is>
          <t>Pendiente</t>
        </is>
      </c>
      <c r="J189" s="15" t="inlineStr">
        <is>
          <t>Alta</t>
        </is>
      </c>
      <c r="K189" s="16" t="inlineStr"/>
      <c r="L189" s="16" t="inlineStr"/>
    </row>
    <row r="190">
      <c r="A190" s="15" t="inlineStr">
        <is>
          <t>EDGE-004</t>
        </is>
      </c>
      <c r="B190" s="16" t="inlineStr">
        <is>
          <t>Casos borde y combinaciones</t>
        </is>
      </c>
      <c r="C190" s="16" t="inlineStr">
        <is>
          <t>Stock gramos</t>
        </is>
      </c>
      <c r="D190" s="16" t="inlineStr">
        <is>
          <t>Agregar cuando lo del carrito ya supera el stock (drawer/home/ficha)</t>
        </is>
      </c>
      <c r="E190" s="15" t="inlineStr">
        <is>
          <t>Borde</t>
        </is>
      </c>
      <c r="F190" s="15" t="inlineStr">
        <is>
          <t>—</t>
        </is>
      </c>
      <c r="G190" s="16" t="inlineStr">
        <is>
          <t>Bloquea/avisa en los 3 orígenes</t>
        </is>
      </c>
      <c r="H190" s="15" t="inlineStr"/>
      <c r="I190" s="15" t="inlineStr">
        <is>
          <t>Pendiente</t>
        </is>
      </c>
      <c r="J190" s="15" t="inlineStr">
        <is>
          <t>Alta</t>
        </is>
      </c>
      <c r="K190" s="16" t="inlineStr"/>
      <c r="L190" s="16" t="inlineStr"/>
    </row>
    <row r="191">
      <c r="A191" s="15" t="inlineStr">
        <is>
          <t>EDGE-005</t>
        </is>
      </c>
      <c r="B191" s="16" t="inlineStr">
        <is>
          <t>Casos borde y combinaciones</t>
        </is>
      </c>
      <c r="C191" s="16" t="inlineStr">
        <is>
          <t>Cupones</t>
        </is>
      </c>
      <c r="D191" s="16" t="inlineStr">
        <is>
          <t>Fijo y porcentual aplican correctamente</t>
        </is>
      </c>
      <c r="E191" s="15" t="inlineStr">
        <is>
          <t>Funcional</t>
        </is>
      </c>
      <c r="F191" s="15" t="inlineStr">
        <is>
          <t>—</t>
        </is>
      </c>
      <c r="G191" s="16" t="inlineStr">
        <is>
          <t>Descuento correcto según tipo</t>
        </is>
      </c>
      <c r="H191" s="15" t="inlineStr"/>
      <c r="I191" s="15" t="inlineStr">
        <is>
          <t>Pendiente</t>
        </is>
      </c>
      <c r="J191" s="15" t="inlineStr">
        <is>
          <t>Alta</t>
        </is>
      </c>
      <c r="K191" s="16" t="inlineStr"/>
      <c r="L191" s="16" t="inlineStr"/>
    </row>
    <row r="192">
      <c r="A192" s="15" t="inlineStr">
        <is>
          <t>EDGE-006</t>
        </is>
      </c>
      <c r="B192" s="16" t="inlineStr">
        <is>
          <t>Casos borde y combinaciones</t>
        </is>
      </c>
      <c r="C192" s="16" t="inlineStr">
        <is>
          <t>Cupones</t>
        </is>
      </c>
      <c r="D192" s="16" t="inlineStr">
        <is>
          <t>No permite más de uno a la vez</t>
        </is>
      </c>
      <c r="E192" s="15" t="inlineStr">
        <is>
          <t>Borde</t>
        </is>
      </c>
      <c r="F192" s="15" t="inlineStr">
        <is>
          <t>—</t>
        </is>
      </c>
      <c r="G192" s="16" t="inlineStr">
        <is>
          <t>Solo un cupón activo</t>
        </is>
      </c>
      <c r="H192" s="15" t="inlineStr"/>
      <c r="I192" s="15" t="inlineStr">
        <is>
          <t>Pendiente</t>
        </is>
      </c>
      <c r="J192" s="15" t="inlineStr">
        <is>
          <t>Media</t>
        </is>
      </c>
      <c r="K192" s="16" t="inlineStr"/>
      <c r="L192" s="16" t="inlineStr"/>
    </row>
    <row r="193">
      <c r="A193" s="15" t="inlineStr">
        <is>
          <t>EDGE-007</t>
        </is>
      </c>
      <c r="B193" s="16" t="inlineStr">
        <is>
          <t>Casos borde y combinaciones</t>
        </is>
      </c>
      <c r="C193" s="16" t="inlineStr">
        <is>
          <t>Cupones</t>
        </is>
      </c>
      <c r="D193" s="16" t="inlineStr">
        <is>
          <t>Vencido / ya usado / límite de usos</t>
        </is>
      </c>
      <c r="E193" s="15" t="inlineStr">
        <is>
          <t>Borde</t>
        </is>
      </c>
      <c r="F193" s="15" t="inlineStr">
        <is>
          <t>—</t>
        </is>
      </c>
      <c r="G193" s="16" t="inlineStr">
        <is>
          <t>Rechaza con mensaje claro</t>
        </is>
      </c>
      <c r="H193" s="15" t="inlineStr"/>
      <c r="I193" s="15" t="inlineStr">
        <is>
          <t>Pendiente</t>
        </is>
      </c>
      <c r="J193" s="15" t="inlineStr">
        <is>
          <t>Media</t>
        </is>
      </c>
      <c r="K193" s="16" t="inlineStr"/>
      <c r="L193" s="16" t="inlineStr"/>
    </row>
    <row r="194">
      <c r="A194" s="15" t="inlineStr">
        <is>
          <t>EDGE-008</t>
        </is>
      </c>
      <c r="B194" s="16" t="inlineStr">
        <is>
          <t>Casos borde y combinaciones</t>
        </is>
      </c>
      <c r="C194" s="16" t="inlineStr">
        <is>
          <t>Cupones</t>
        </is>
      </c>
      <c r="D194" s="16" t="inlineStr">
        <is>
          <t>Monto mínimo no alcanzado; restringido a producto/categoría</t>
        </is>
      </c>
      <c r="E194" s="15" t="inlineStr">
        <is>
          <t>Borde</t>
        </is>
      </c>
      <c r="F194" s="15" t="inlineStr">
        <is>
          <t>—</t>
        </is>
      </c>
      <c r="G194" s="16" t="inlineStr">
        <is>
          <t>Respeta restricciones</t>
        </is>
      </c>
      <c r="H194" s="15" t="inlineStr"/>
      <c r="I194" s="15" t="inlineStr">
        <is>
          <t>Pendiente</t>
        </is>
      </c>
      <c r="J194" s="15" t="inlineStr">
        <is>
          <t>Media</t>
        </is>
      </c>
      <c r="K194" s="16" t="inlineStr"/>
      <c r="L194" s="16" t="inlineStr"/>
    </row>
    <row r="195">
      <c r="A195" s="15" t="inlineStr">
        <is>
          <t>EDGE-009</t>
        </is>
      </c>
      <c r="B195" s="16" t="inlineStr">
        <is>
          <t>Casos borde y combinaciones</t>
        </is>
      </c>
      <c r="C195" s="16" t="inlineStr">
        <is>
          <t>Cupones</t>
        </is>
      </c>
      <c r="D195" s="16" t="inlineStr">
        <is>
          <t>Cupón de envío gratis; cupón inexistente; mayús/minús</t>
        </is>
      </c>
      <c r="E195" s="15" t="inlineStr">
        <is>
          <t>Borde</t>
        </is>
      </c>
      <c r="F195" s="15" t="inlineStr">
        <is>
          <t>—</t>
        </is>
      </c>
      <c r="G195" s="16" t="inlineStr">
        <is>
          <t>Comportamiento correcto en cada caso</t>
        </is>
      </c>
      <c r="H195" s="15" t="inlineStr"/>
      <c r="I195" s="15" t="inlineStr">
        <is>
          <t>Pendiente</t>
        </is>
      </c>
      <c r="J195" s="15" t="inlineStr">
        <is>
          <t>Media</t>
        </is>
      </c>
      <c r="K195" s="16" t="inlineStr"/>
      <c r="L195" s="16" t="inlineStr"/>
    </row>
    <row r="196">
      <c r="A196" s="15" t="inlineStr">
        <is>
          <t>EDGE-010</t>
        </is>
      </c>
      <c r="B196" s="16" t="inlineStr">
        <is>
          <t>Casos borde y combinaciones</t>
        </is>
      </c>
      <c r="C196" s="16" t="inlineStr">
        <is>
          <t>Envío gratis</t>
        </is>
      </c>
      <c r="D196" s="16" t="inlineStr">
        <is>
          <t>Justo en el umbral, por debajo y por encima</t>
        </is>
      </c>
      <c r="E196" s="15" t="inlineStr">
        <is>
          <t>Borde</t>
        </is>
      </c>
      <c r="F196" s="15" t="inlineStr">
        <is>
          <t>—</t>
        </is>
      </c>
      <c r="G196" s="16" t="inlineStr">
        <is>
          <t>Aplica/no aplica según corresponda</t>
        </is>
      </c>
      <c r="H196" s="15" t="inlineStr"/>
      <c r="I196" s="15" t="inlineStr">
        <is>
          <t>Pendiente</t>
        </is>
      </c>
      <c r="J196" s="15" t="inlineStr">
        <is>
          <t>Media</t>
        </is>
      </c>
      <c r="K196" s="16" t="inlineStr"/>
      <c r="L196" s="16" t="inlineStr"/>
    </row>
    <row r="197">
      <c r="A197" s="15" t="inlineStr">
        <is>
          <t>EDGE-011</t>
        </is>
      </c>
      <c r="B197" s="16" t="inlineStr">
        <is>
          <t>Casos borde y combinaciones</t>
        </is>
      </c>
      <c r="C197" s="16" t="inlineStr">
        <is>
          <t>Envío gratis</t>
        </is>
      </c>
      <c r="D197" s="16" t="inlineStr">
        <is>
          <t>Al quitar un producto vuelve a 'te faltan $X'</t>
        </is>
      </c>
      <c r="E197" s="15" t="inlineStr">
        <is>
          <t>Borde</t>
        </is>
      </c>
      <c r="F197" s="15" t="inlineStr">
        <is>
          <t>—</t>
        </is>
      </c>
      <c r="G197" s="16" t="inlineStr">
        <is>
          <t>Recalcula al cambiar el carrito</t>
        </is>
      </c>
      <c r="H197" s="15" t="inlineStr"/>
      <c r="I197" s="15" t="inlineStr">
        <is>
          <t>Pendiente</t>
        </is>
      </c>
      <c r="J197" s="15" t="inlineStr">
        <is>
          <t>Media</t>
        </is>
      </c>
      <c r="K197" s="16" t="inlineStr"/>
      <c r="L197" s="16" t="inlineStr"/>
    </row>
    <row r="198">
      <c r="A198" s="15" t="inlineStr">
        <is>
          <t>EDGE-012</t>
        </is>
      </c>
      <c r="B198" s="16" t="inlineStr">
        <is>
          <t>Casos borde y combinaciones</t>
        </is>
      </c>
      <c r="C198" s="16" t="inlineStr">
        <is>
          <t>Combinaciones</t>
        </is>
      </c>
      <c r="D198" s="16" t="inlineStr">
        <is>
          <t>Invitado + cupón + Flow</t>
        </is>
      </c>
      <c r="E198" s="15" t="inlineStr">
        <is>
          <t>Borde</t>
        </is>
      </c>
      <c r="F198" s="15" t="inlineStr">
        <is>
          <t>—</t>
        </is>
      </c>
      <c r="G198" s="16" t="inlineStr">
        <is>
          <t>Flujo completo sin errores</t>
        </is>
      </c>
      <c r="H198" s="15" t="inlineStr"/>
      <c r="I198" s="15" t="inlineStr">
        <is>
          <t>Pendiente</t>
        </is>
      </c>
      <c r="J198" s="15" t="inlineStr">
        <is>
          <t>Alta</t>
        </is>
      </c>
      <c r="K198" s="16" t="inlineStr"/>
      <c r="L198" s="16" t="inlineStr"/>
    </row>
    <row r="199">
      <c r="A199" s="15" t="inlineStr">
        <is>
          <t>EDGE-013</t>
        </is>
      </c>
      <c r="B199" s="16" t="inlineStr">
        <is>
          <t>Casos borde y combinaciones</t>
        </is>
      </c>
      <c r="C199" s="16" t="inlineStr">
        <is>
          <t>Combinaciones</t>
        </is>
      </c>
      <c r="D199" s="16" t="inlineStr">
        <is>
          <t>Logueado + auto-ajuste de stock + Flow</t>
        </is>
      </c>
      <c r="E199" s="15" t="inlineStr">
        <is>
          <t>Borde</t>
        </is>
      </c>
      <c r="F199" s="15" t="inlineStr">
        <is>
          <t>—</t>
        </is>
      </c>
      <c r="G199" s="16" t="inlineStr">
        <is>
          <t>Flujo completo con ajuste</t>
        </is>
      </c>
      <c r="H199" s="15" t="inlineStr"/>
      <c r="I199" s="15" t="inlineStr">
        <is>
          <t>Pendiente</t>
        </is>
      </c>
      <c r="J199" s="15" t="inlineStr">
        <is>
          <t>Alta</t>
        </is>
      </c>
      <c r="K199" s="16" t="inlineStr"/>
      <c r="L199" s="16" t="inlineStr"/>
    </row>
    <row r="200">
      <c r="A200" s="15" t="inlineStr">
        <is>
          <t>EDGE-014</t>
        </is>
      </c>
      <c r="B200" s="16" t="inlineStr">
        <is>
          <t>Casos borde y combinaciones</t>
        </is>
      </c>
      <c r="C200" s="16" t="inlineStr">
        <is>
          <t>Combinaciones</t>
        </is>
      </c>
      <c r="D200" s="16" t="inlineStr">
        <is>
          <t>Compra que cruza el umbral de envío gratis</t>
        </is>
      </c>
      <c r="E200" s="15" t="inlineStr">
        <is>
          <t>Borde</t>
        </is>
      </c>
      <c r="F200" s="15" t="inlineStr">
        <is>
          <t>—</t>
        </is>
      </c>
      <c r="G200" s="16" t="inlineStr">
        <is>
          <t>Envío se recalcula correctamente</t>
        </is>
      </c>
      <c r="H200" s="15" t="inlineStr"/>
      <c r="I200" s="15" t="inlineStr">
        <is>
          <t>Pendiente</t>
        </is>
      </c>
      <c r="J200" s="15" t="inlineStr">
        <is>
          <t>Media</t>
        </is>
      </c>
      <c r="K200" s="16" t="inlineStr"/>
      <c r="L200" s="16" t="inlineStr"/>
    </row>
    <row r="201">
      <c r="A201" s="15" t="inlineStr">
        <is>
          <t>EDGE-015</t>
        </is>
      </c>
      <c r="B201" s="16" t="inlineStr">
        <is>
          <t>Casos borde y combinaciones</t>
        </is>
      </c>
      <c r="C201" s="16" t="inlineStr">
        <is>
          <t>Sesión</t>
        </is>
      </c>
      <c r="D201" s="16" t="inlineStr">
        <is>
          <t>Dos pestañas a la vez; carrito invitado al loguear (merge)</t>
        </is>
      </c>
      <c r="E201" s="15" t="inlineStr">
        <is>
          <t>Borde</t>
        </is>
      </c>
      <c r="F201" s="15" t="inlineStr">
        <is>
          <t>—</t>
        </is>
      </c>
      <c r="G201" s="16" t="inlineStr">
        <is>
          <t>Sin inconsistencias entre pestañas</t>
        </is>
      </c>
      <c r="H201" s="15" t="inlineStr"/>
      <c r="I201" s="15" t="inlineStr">
        <is>
          <t>Pendiente</t>
        </is>
      </c>
      <c r="J201" s="15" t="inlineStr">
        <is>
          <t>Media</t>
        </is>
      </c>
      <c r="K201" s="16" t="inlineStr"/>
      <c r="L201" s="16" t="inlineStr"/>
    </row>
    <row r="202">
      <c r="A202" s="15" t="inlineStr">
        <is>
          <t>EDGE-016</t>
        </is>
      </c>
      <c r="B202" s="16" t="inlineStr">
        <is>
          <t>Casos borde y combinaciones</t>
        </is>
      </c>
      <c r="C202" s="16" t="inlineStr">
        <is>
          <t>Datos raros</t>
        </is>
      </c>
      <c r="D202" s="16" t="inlineStr">
        <is>
          <t>Tildes/ñ en nombre y dirección; nombres muy largos; email con +</t>
        </is>
      </c>
      <c r="E202" s="15" t="inlineStr">
        <is>
          <t>Borde</t>
        </is>
      </c>
      <c r="F202" s="15" t="inlineStr">
        <is>
          <t>—</t>
        </is>
      </c>
      <c r="G202" s="16" t="inlineStr">
        <is>
          <t>Maneja datos especiales</t>
        </is>
      </c>
      <c r="H202" s="15" t="inlineStr"/>
      <c r="I202" s="15" t="inlineStr">
        <is>
          <t>Pendiente</t>
        </is>
      </c>
      <c r="J202" s="15" t="inlineStr">
        <is>
          <t>Media</t>
        </is>
      </c>
      <c r="K202" s="16" t="inlineStr"/>
      <c r="L202" s="16" t="inlineStr"/>
    </row>
    <row r="203">
      <c r="A203" s="15" t="inlineStr">
        <is>
          <t>EDGE-017</t>
        </is>
      </c>
      <c r="B203" s="16" t="inlineStr">
        <is>
          <t>Casos borde y combinaciones</t>
        </is>
      </c>
      <c r="C203" s="16" t="inlineStr">
        <is>
          <t>Concurrencia</t>
        </is>
      </c>
      <c r="D203" s="16" t="inlineStr">
        <is>
          <t>Último ítem comprado por dos usuarios casi simultáneo</t>
        </is>
      </c>
      <c r="E203" s="15" t="inlineStr">
        <is>
          <t>Borde</t>
        </is>
      </c>
      <c r="F203" s="15" t="inlineStr">
        <is>
          <t>—</t>
        </is>
      </c>
      <c r="G203" s="16" t="inlineStr">
        <is>
          <t>No vende stock inexistente</t>
        </is>
      </c>
      <c r="H203" s="15" t="inlineStr"/>
      <c r="I203" s="15" t="inlineStr">
        <is>
          <t>Pendiente</t>
        </is>
      </c>
      <c r="J203" s="15" t="inlineStr">
        <is>
          <t>Alta</t>
        </is>
      </c>
      <c r="K203" s="16" t="inlineStr"/>
      <c r="L203" s="16" t="inlineStr"/>
    </row>
    <row r="204">
      <c r="A204" s="15" t="inlineStr">
        <is>
          <t>TECH-001</t>
        </is>
      </c>
      <c r="B204" s="16" t="inlineStr">
        <is>
          <t>Performance / SEO / Seguridad / Deliverability</t>
        </is>
      </c>
      <c r="C204" s="16" t="inlineStr">
        <is>
          <t>Performance</t>
        </is>
      </c>
      <c r="D204" s="16" t="inlineStr">
        <is>
          <t>Lighthouse en home, ficha y checkout (desktop y mobile)</t>
        </is>
      </c>
      <c r="E204" s="15" t="inlineStr">
        <is>
          <t>Integración</t>
        </is>
      </c>
      <c r="F204" s="15" t="inlineStr">
        <is>
          <t>Desktop</t>
        </is>
      </c>
      <c r="G204" s="16" t="inlineStr">
        <is>
          <t>Puntajes razonables de Perf/A11y/SEO/Best practices</t>
        </is>
      </c>
      <c r="H204" s="15" t="inlineStr"/>
      <c r="I204" s="15" t="inlineStr">
        <is>
          <t>Pendiente</t>
        </is>
      </c>
      <c r="J204" s="15" t="inlineStr">
        <is>
          <t>Media</t>
        </is>
      </c>
      <c r="K204" s="16" t="inlineStr"/>
      <c r="L204" s="16" t="inlineStr"/>
    </row>
    <row r="205">
      <c r="A205" s="15" t="inlineStr">
        <is>
          <t>TECH-002</t>
        </is>
      </c>
      <c r="B205" s="16" t="inlineStr">
        <is>
          <t>Performance / SEO / Seguridad / Deliverability</t>
        </is>
      </c>
      <c r="C205" s="16" t="inlineStr">
        <is>
          <t>Performance</t>
        </is>
      </c>
      <c r="D205" s="16" t="inlineStr">
        <is>
          <t>Lighthouse en home, ficha y checkout (desktop y mobile)</t>
        </is>
      </c>
      <c r="E205" s="15" t="inlineStr">
        <is>
          <t>Integración</t>
        </is>
      </c>
      <c r="F205" s="15" t="inlineStr">
        <is>
          <t>Tablet</t>
        </is>
      </c>
      <c r="G205" s="16" t="inlineStr">
        <is>
          <t>Puntajes razonables de Perf/A11y/SEO/Best practices</t>
        </is>
      </c>
      <c r="H205" s="15" t="inlineStr"/>
      <c r="I205" s="15" t="inlineStr">
        <is>
          <t>Pendiente</t>
        </is>
      </c>
      <c r="J205" s="15" t="inlineStr">
        <is>
          <t>Media</t>
        </is>
      </c>
      <c r="K205" s="16" t="inlineStr"/>
      <c r="L205" s="16" t="inlineStr"/>
    </row>
    <row r="206">
      <c r="A206" s="15" t="inlineStr">
        <is>
          <t>TECH-003</t>
        </is>
      </c>
      <c r="B206" s="16" t="inlineStr">
        <is>
          <t>Performance / SEO / Seguridad / Deliverability</t>
        </is>
      </c>
      <c r="C206" s="16" t="inlineStr">
        <is>
          <t>Performance</t>
        </is>
      </c>
      <c r="D206" s="16" t="inlineStr">
        <is>
          <t>Lighthouse en home, ficha y checkout (desktop y mobile)</t>
        </is>
      </c>
      <c r="E206" s="15" t="inlineStr">
        <is>
          <t>Integración</t>
        </is>
      </c>
      <c r="F206" s="15" t="inlineStr">
        <is>
          <t>Mobile</t>
        </is>
      </c>
      <c r="G206" s="16" t="inlineStr">
        <is>
          <t>Puntajes razonables de Perf/A11y/SEO/Best practices</t>
        </is>
      </c>
      <c r="H206" s="15" t="inlineStr"/>
      <c r="I206" s="15" t="inlineStr">
        <is>
          <t>Pendiente</t>
        </is>
      </c>
      <c r="J206" s="15" t="inlineStr">
        <is>
          <t>Media</t>
        </is>
      </c>
      <c r="K206" s="16" t="inlineStr"/>
      <c r="L206" s="16" t="inlineStr"/>
    </row>
    <row r="207">
      <c r="A207" s="15" t="inlineStr">
        <is>
          <t>TECH-004</t>
        </is>
      </c>
      <c r="B207" s="16" t="inlineStr">
        <is>
          <t>Performance / SEO / Seguridad / Deliverability</t>
        </is>
      </c>
      <c r="C207" s="16" t="inlineStr">
        <is>
          <t>SEO</t>
        </is>
      </c>
      <c r="D207" s="16" t="inlineStr">
        <is>
          <t>Titles y meta description únicos por página</t>
        </is>
      </c>
      <c r="E207" s="15" t="inlineStr">
        <is>
          <t>Contenido</t>
        </is>
      </c>
      <c r="F207" s="15" t="inlineStr">
        <is>
          <t>—</t>
        </is>
      </c>
      <c r="G207" s="16" t="inlineStr">
        <is>
          <t>Metadatos correctos</t>
        </is>
      </c>
      <c r="H207" s="15" t="inlineStr"/>
      <c r="I207" s="15" t="inlineStr">
        <is>
          <t>Pendiente</t>
        </is>
      </c>
      <c r="J207" s="15" t="inlineStr">
        <is>
          <t>Media</t>
        </is>
      </c>
      <c r="K207" s="16" t="inlineStr"/>
      <c r="L207" s="16" t="inlineStr"/>
    </row>
    <row r="208">
      <c r="A208" s="15" t="inlineStr">
        <is>
          <t>TECH-005</t>
        </is>
      </c>
      <c r="B208" s="16" t="inlineStr">
        <is>
          <t>Performance / SEO / Seguridad / Deliverability</t>
        </is>
      </c>
      <c r="C208" s="16" t="inlineStr">
        <is>
          <t>SEO</t>
        </is>
      </c>
      <c r="D208" s="16" t="inlineStr">
        <is>
          <t>OG/Twitter cards (preview al compartir)</t>
        </is>
      </c>
      <c r="E208" s="15" t="inlineStr">
        <is>
          <t>Integración</t>
        </is>
      </c>
      <c r="F208" s="15" t="inlineStr">
        <is>
          <t>—</t>
        </is>
      </c>
      <c r="G208" s="16" t="inlineStr">
        <is>
          <t>Preview correcto al compartir el link</t>
        </is>
      </c>
      <c r="H208" s="15" t="inlineStr"/>
      <c r="I208" s="15" t="inlineStr">
        <is>
          <t>Pendiente</t>
        </is>
      </c>
      <c r="J208" s="15" t="inlineStr">
        <is>
          <t>Media</t>
        </is>
      </c>
      <c r="K208" s="16" t="inlineStr"/>
      <c r="L208" s="16" t="inlineStr"/>
    </row>
    <row r="209">
      <c r="A209" s="15" t="inlineStr">
        <is>
          <t>TECH-006</t>
        </is>
      </c>
      <c r="B209" s="16" t="inlineStr">
        <is>
          <t>Performance / SEO / Seguridad / Deliverability</t>
        </is>
      </c>
      <c r="C209" s="16" t="inlineStr">
        <is>
          <t>SEO</t>
        </is>
      </c>
      <c r="D209" s="16" t="inlineStr">
        <is>
          <t>Canonical, sitemap.xml, robots.txt</t>
        </is>
      </c>
      <c r="E209" s="15" t="inlineStr">
        <is>
          <t>Integración</t>
        </is>
      </c>
      <c r="F209" s="15" t="inlineStr">
        <is>
          <t>—</t>
        </is>
      </c>
      <c r="G209" s="16" t="inlineStr">
        <is>
          <t>SEO técnico correcto</t>
        </is>
      </c>
      <c r="H209" s="15" t="inlineStr"/>
      <c r="I209" s="15" t="inlineStr">
        <is>
          <t>Pendiente</t>
        </is>
      </c>
      <c r="J209" s="15" t="inlineStr">
        <is>
          <t>Media</t>
        </is>
      </c>
      <c r="K209" s="16" t="inlineStr"/>
      <c r="L209" s="16" t="inlineStr"/>
    </row>
    <row r="210">
      <c r="A210" s="15" t="inlineStr">
        <is>
          <t>TECH-007</t>
        </is>
      </c>
      <c r="B210" s="16" t="inlineStr">
        <is>
          <t>Performance / SEO / Seguridad / Deliverability</t>
        </is>
      </c>
      <c r="C210" s="16" t="inlineStr">
        <is>
          <t>SEO</t>
        </is>
      </c>
      <c r="D210" s="16" t="inlineStr">
        <is>
          <t>Schema de producto (precio/stock/rating) y favicons</t>
        </is>
      </c>
      <c r="E210" s="15" t="inlineStr">
        <is>
          <t>Integración</t>
        </is>
      </c>
      <c r="F210" s="15" t="inlineStr">
        <is>
          <t>—</t>
        </is>
      </c>
      <c r="G210" s="16" t="inlineStr">
        <is>
          <t>Datos estructurados y favicons en todos los dispositivos</t>
        </is>
      </c>
      <c r="H210" s="15" t="inlineStr"/>
      <c r="I210" s="15" t="inlineStr">
        <is>
          <t>Pendiente</t>
        </is>
      </c>
      <c r="J210" s="15" t="inlineStr">
        <is>
          <t>Media</t>
        </is>
      </c>
      <c r="K210" s="16" t="inlineStr"/>
      <c r="L210" s="16" t="inlineStr"/>
    </row>
    <row r="211">
      <c r="A211" s="15" t="inlineStr">
        <is>
          <t>TECH-008</t>
        </is>
      </c>
      <c r="B211" s="16" t="inlineStr">
        <is>
          <t>Performance / SEO / Seguridad / Deliverability</t>
        </is>
      </c>
      <c r="C211" s="16" t="inlineStr">
        <is>
          <t>Seguridad</t>
        </is>
      </c>
      <c r="D211" s="16" t="inlineStr">
        <is>
          <t>XML-RPC off; enumeración usuarios REST bloqueada; headers</t>
        </is>
      </c>
      <c r="E211" s="15" t="inlineStr">
        <is>
          <t>Integración</t>
        </is>
      </c>
      <c r="F211" s="15" t="inlineStr">
        <is>
          <t>—</t>
        </is>
      </c>
      <c r="G211" s="16" t="inlineStr">
        <is>
          <t>Hardening activo</t>
        </is>
      </c>
      <c r="H211" s="15" t="inlineStr"/>
      <c r="I211" s="15" t="inlineStr">
        <is>
          <t>Pendiente</t>
        </is>
      </c>
      <c r="J211" s="15" t="inlineStr">
        <is>
          <t>Alta</t>
        </is>
      </c>
      <c r="K211" s="16" t="inlineStr"/>
      <c r="L211" s="16" t="inlineStr"/>
    </row>
    <row r="212">
      <c r="A212" s="15" t="inlineStr">
        <is>
          <t>TECH-009</t>
        </is>
      </c>
      <c r="B212" s="16" t="inlineStr">
        <is>
          <t>Performance / SEO / Seguridad / Deliverability</t>
        </is>
      </c>
      <c r="C212" s="16" t="inlineStr">
        <is>
          <t>Seguridad</t>
        </is>
      </c>
      <c r="D212" s="16" t="inlineStr">
        <is>
          <t>Login genérico; nonces/honeypot en forms; scripts/*.php no accesibles por web</t>
        </is>
      </c>
      <c r="E212" s="15" t="inlineStr">
        <is>
          <t>Integración</t>
        </is>
      </c>
      <c r="F212" s="15" t="inlineStr">
        <is>
          <t>—</t>
        </is>
      </c>
      <c r="G212" s="16" t="inlineStr">
        <is>
          <t>Sin vectores básicos expuestos</t>
        </is>
      </c>
      <c r="H212" s="15" t="inlineStr"/>
      <c r="I212" s="15" t="inlineStr">
        <is>
          <t>Pendiente</t>
        </is>
      </c>
      <c r="J212" s="15" t="inlineStr">
        <is>
          <t>Alta</t>
        </is>
      </c>
      <c r="K212" s="16" t="inlineStr"/>
      <c r="L212" s="16" t="inlineStr"/>
    </row>
    <row r="213">
      <c r="A213" s="15" t="inlineStr">
        <is>
          <t>TECH-010</t>
        </is>
      </c>
      <c r="B213" s="16" t="inlineStr">
        <is>
          <t>Performance / SEO / Seguridad / Deliverability</t>
        </is>
      </c>
      <c r="C213" s="16" t="inlineStr">
        <is>
          <t>Deliverability</t>
        </is>
      </c>
      <c r="D213" s="16" t="inlineStr">
        <is>
          <t>SPF + DKIM + DMARC del dominio; test mail-tester</t>
        </is>
      </c>
      <c r="E213" s="15" t="inlineStr">
        <is>
          <t>Integración</t>
        </is>
      </c>
      <c r="F213" s="15" t="inlineStr">
        <is>
          <t>—</t>
        </is>
      </c>
      <c r="G213" s="16" t="inlineStr">
        <is>
          <t>Buena reputación; no cae en spam</t>
        </is>
      </c>
      <c r="H213" s="15" t="inlineStr"/>
      <c r="I213" s="15" t="inlineStr">
        <is>
          <t>Pendiente</t>
        </is>
      </c>
      <c r="J213" s="15" t="inlineStr">
        <is>
          <t>Alta</t>
        </is>
      </c>
      <c r="K213" s="16" t="inlineStr"/>
      <c r="L213" s="16" t="inlineStr"/>
    </row>
    <row r="214">
      <c r="A214" s="15" t="inlineStr">
        <is>
          <t>INFRA-001</t>
        </is>
      </c>
      <c r="B214" s="16" t="inlineStr">
        <is>
          <t>Pre-lanzamiento / Infra</t>
        </is>
      </c>
      <c r="C214" s="16" t="inlineStr">
        <is>
          <t>Infra</t>
        </is>
      </c>
      <c r="D214" s="16" t="inlineStr">
        <is>
          <t>Dominio apunta bien; SSL válido; www&lt;-&gt;no-www; redirecciones</t>
        </is>
      </c>
      <c r="E214" s="15" t="inlineStr">
        <is>
          <t>Integración</t>
        </is>
      </c>
      <c r="F214" s="15" t="inlineStr">
        <is>
          <t>—</t>
        </is>
      </c>
      <c r="G214" s="16" t="inlineStr">
        <is>
          <t>DNS/SSL/redirecciones correctas</t>
        </is>
      </c>
      <c r="H214" s="15" t="inlineStr"/>
      <c r="I214" s="15" t="inlineStr">
        <is>
          <t>Pendiente</t>
        </is>
      </c>
      <c r="J214" s="15" t="inlineStr">
        <is>
          <t>Bloqueante</t>
        </is>
      </c>
      <c r="K214" s="16" t="inlineStr"/>
      <c r="L214" s="16" t="inlineStr"/>
    </row>
    <row r="215">
      <c r="A215" s="15" t="inlineStr">
        <is>
          <t>INFRA-002</t>
        </is>
      </c>
      <c r="B215" s="16" t="inlineStr">
        <is>
          <t>Pre-lanzamiento / Infra</t>
        </is>
      </c>
      <c r="C215" s="16" t="inlineStr">
        <is>
          <t>Infra</t>
        </is>
      </c>
      <c r="D215" s="16" t="inlineStr">
        <is>
          <t>SMTP producción (hola@/no-reply@) probado; límites conocidos</t>
        </is>
      </c>
      <c r="E215" s="15" t="inlineStr">
        <is>
          <t>Integración</t>
        </is>
      </c>
      <c r="F215" s="15" t="inlineStr">
        <is>
          <t>—</t>
        </is>
      </c>
      <c r="G215" s="16" t="inlineStr">
        <is>
          <t>Envío de correo funciona en prod</t>
        </is>
      </c>
      <c r="H215" s="15" t="inlineStr"/>
      <c r="I215" s="15" t="inlineStr">
        <is>
          <t>Pendiente</t>
        </is>
      </c>
      <c r="J215" s="15" t="inlineStr">
        <is>
          <t>Alta</t>
        </is>
      </c>
      <c r="K215" s="16" t="inlineStr"/>
      <c r="L215" s="16" t="inlineStr"/>
    </row>
    <row r="216">
      <c r="A216" s="15" t="inlineStr">
        <is>
          <t>INFRA-003</t>
        </is>
      </c>
      <c r="B216" s="16" t="inlineStr">
        <is>
          <t>Pre-lanzamiento / Infra</t>
        </is>
      </c>
      <c r="C216" s="16" t="inlineStr">
        <is>
          <t>Infra</t>
        </is>
      </c>
      <c r="D216" s="16" t="inlineStr">
        <is>
          <t>Cron real de Hostinger + DISABLE_WP_CRON (Action Scheduler)</t>
        </is>
      </c>
      <c r="E216" s="15" t="inlineStr">
        <is>
          <t>Integración</t>
        </is>
      </c>
      <c r="F216" s="15" t="inlineStr">
        <is>
          <t>—</t>
        </is>
      </c>
      <c r="G216" s="16" t="inlineStr">
        <is>
          <t>El cron dispara los jobs automáticos</t>
        </is>
      </c>
      <c r="H216" s="15" t="inlineStr"/>
      <c r="I216" s="15" t="inlineStr">
        <is>
          <t>Pendiente</t>
        </is>
      </c>
      <c r="J216" s="15" t="inlineStr">
        <is>
          <t>Alta</t>
        </is>
      </c>
      <c r="K216" s="16" t="inlineStr"/>
      <c r="L216" s="16" t="inlineStr"/>
    </row>
    <row r="217">
      <c r="A217" s="15" t="inlineStr">
        <is>
          <t>INFRA-004</t>
        </is>
      </c>
      <c r="B217" s="16" t="inlineStr">
        <is>
          <t>Pre-lanzamiento / Infra</t>
        </is>
      </c>
      <c r="C217" s="16" t="inlineStr">
        <is>
          <t>Infra</t>
        </is>
      </c>
      <c r="D217" s="16" t="inlineStr">
        <is>
          <t>Cupones creados en WooCommerce (FELIZCUMPLE, TEEXTRANAMOS, etc.)</t>
        </is>
      </c>
      <c r="E217" s="15" t="inlineStr">
        <is>
          <t>Integración</t>
        </is>
      </c>
      <c r="F217" s="15" t="inlineStr">
        <is>
          <t>—</t>
        </is>
      </c>
      <c r="G217" s="16" t="inlineStr">
        <is>
          <t>Los cupones existen con su descuento</t>
        </is>
      </c>
      <c r="H217" s="15" t="inlineStr"/>
      <c r="I217" s="15" t="inlineStr">
        <is>
          <t>Pendiente</t>
        </is>
      </c>
      <c r="J217" s="15" t="inlineStr">
        <is>
          <t>Media</t>
        </is>
      </c>
      <c r="K217" s="16" t="inlineStr"/>
      <c r="L217" s="16" t="inlineStr"/>
    </row>
    <row r="218">
      <c r="A218" s="15" t="inlineStr">
        <is>
          <t>INFRA-005</t>
        </is>
      </c>
      <c r="B218" s="16" t="inlineStr">
        <is>
          <t>Pre-lanzamiento / Infra</t>
        </is>
      </c>
      <c r="C218" s="16" t="inlineStr">
        <is>
          <t>Infra</t>
        </is>
      </c>
      <c r="D218" s="16" t="inlineStr">
        <is>
          <t>Stock inicial cargado (en gramos) por cada café</t>
        </is>
      </c>
      <c r="E218" s="15" t="inlineStr">
        <is>
          <t>Integración</t>
        </is>
      </c>
      <c r="F218" s="15" t="inlineStr">
        <is>
          <t>—</t>
        </is>
      </c>
      <c r="G218" s="16" t="inlineStr">
        <is>
          <t>Inventario inicial correcto</t>
        </is>
      </c>
      <c r="H218" s="15" t="inlineStr"/>
      <c r="I218" s="15" t="inlineStr">
        <is>
          <t>Pendiente</t>
        </is>
      </c>
      <c r="J218" s="15" t="inlineStr">
        <is>
          <t>Alta</t>
        </is>
      </c>
      <c r="K218" s="16" t="inlineStr"/>
      <c r="L218" s="16" t="inlineStr"/>
    </row>
    <row r="219">
      <c r="A219" s="15" t="inlineStr">
        <is>
          <t>INFRA-006</t>
        </is>
      </c>
      <c r="B219" s="16" t="inlineStr">
        <is>
          <t>Pre-lanzamiento / Infra</t>
        </is>
      </c>
      <c r="C219" s="16" t="inlineStr">
        <is>
          <t>Infra</t>
        </is>
      </c>
      <c r="D219" s="16" t="inlineStr">
        <is>
          <t>Flow en modo producción (no sandbox); datos SII/facturación</t>
        </is>
      </c>
      <c r="E219" s="15" t="inlineStr">
        <is>
          <t>Integración</t>
        </is>
      </c>
      <c r="F219" s="15" t="inlineStr">
        <is>
          <t>—</t>
        </is>
      </c>
      <c r="G219" s="16" t="inlineStr">
        <is>
          <t>Pasarela en producción</t>
        </is>
      </c>
      <c r="H219" s="15" t="inlineStr"/>
      <c r="I219" s="15" t="inlineStr">
        <is>
          <t>Pendiente</t>
        </is>
      </c>
      <c r="J219" s="15" t="inlineStr">
        <is>
          <t>Bloqueante</t>
        </is>
      </c>
      <c r="K219" s="16" t="inlineStr"/>
      <c r="L219" s="16" t="inlineStr"/>
    </row>
    <row r="220">
      <c r="A220" s="15" t="inlineStr">
        <is>
          <t>INFRA-007</t>
        </is>
      </c>
      <c r="B220" s="16" t="inlineStr">
        <is>
          <t>Pre-lanzamiento / Infra</t>
        </is>
      </c>
      <c r="C220" s="16" t="inlineStr">
        <is>
          <t>Infra</t>
        </is>
      </c>
      <c r="D220" s="16" t="inlineStr">
        <is>
          <t>Backups automáticos (UpdraftPlus) y plan de restore</t>
        </is>
      </c>
      <c r="E220" s="15" t="inlineStr">
        <is>
          <t>Integración</t>
        </is>
      </c>
      <c r="F220" s="15" t="inlineStr">
        <is>
          <t>—</t>
        </is>
      </c>
      <c r="G220" s="16" t="inlineStr">
        <is>
          <t>Backups configurados y testeados</t>
        </is>
      </c>
      <c r="H220" s="15" t="inlineStr"/>
      <c r="I220" s="15" t="inlineStr">
        <is>
          <t>Pendiente</t>
        </is>
      </c>
      <c r="J220" s="15" t="inlineStr">
        <is>
          <t>Alta</t>
        </is>
      </c>
      <c r="K220" s="16" t="inlineStr"/>
      <c r="L220" s="16" t="inlineStr"/>
    </row>
    <row r="221">
      <c r="A221" s="15" t="inlineStr">
        <is>
          <t>INFRA-008</t>
        </is>
      </c>
      <c r="B221" s="16" t="inlineStr">
        <is>
          <t>Pre-lanzamiento / Infra</t>
        </is>
      </c>
      <c r="C221" s="16" t="inlineStr">
        <is>
          <t>Infra</t>
        </is>
      </c>
      <c r="D221" s="16" t="inlineStr">
        <is>
          <t>Caché/optimización (LiteSpeed) configurada y purgada</t>
        </is>
      </c>
      <c r="E221" s="15" t="inlineStr">
        <is>
          <t>Integración</t>
        </is>
      </c>
      <c r="F221" s="15" t="inlineStr">
        <is>
          <t>—</t>
        </is>
      </c>
      <c r="G221" s="16" t="inlineStr">
        <is>
          <t>Caché correcta</t>
        </is>
      </c>
      <c r="H221" s="15" t="inlineStr"/>
      <c r="I221" s="15" t="inlineStr">
        <is>
          <t>Pendiente</t>
        </is>
      </c>
      <c r="J221" s="15" t="inlineStr">
        <is>
          <t>Media</t>
        </is>
      </c>
      <c r="K221" s="16" t="inlineStr"/>
      <c r="L221" s="16" t="inlineStr"/>
    </row>
    <row r="222">
      <c r="A222" s="15" t="inlineStr">
        <is>
          <t>INFRA-009</t>
        </is>
      </c>
      <c r="B222" s="16" t="inlineStr">
        <is>
          <t>Pre-lanzamiento / Infra</t>
        </is>
      </c>
      <c r="C222" s="16" t="inlineStr">
        <is>
          <t>Infra</t>
        </is>
      </c>
      <c r="D222" s="16" t="inlineStr">
        <is>
          <t>Costos y zonas de envío configurados</t>
        </is>
      </c>
      <c r="E222" s="15" t="inlineStr">
        <is>
          <t>Integración</t>
        </is>
      </c>
      <c r="F222" s="15" t="inlineStr">
        <is>
          <t>—</t>
        </is>
      </c>
      <c r="G222" s="16" t="inlineStr">
        <is>
          <t>Envíos configurados</t>
        </is>
      </c>
      <c r="H222" s="15" t="inlineStr"/>
      <c r="I222" s="15" t="inlineStr">
        <is>
          <t>Pendiente</t>
        </is>
      </c>
      <c r="J222" s="15" t="inlineStr">
        <is>
          <t>Alta</t>
        </is>
      </c>
      <c r="K222" s="16" t="inlineStr"/>
      <c r="L222" s="16" t="inlineStr"/>
    </row>
    <row r="223">
      <c r="A223" s="15" t="inlineStr">
        <is>
          <t>INFRA-010</t>
        </is>
      </c>
      <c r="B223" s="16" t="inlineStr">
        <is>
          <t>Pre-lanzamiento / Infra</t>
        </is>
      </c>
      <c r="C223" s="16" t="inlineStr">
        <is>
          <t>Infra</t>
        </is>
      </c>
      <c r="D223" s="16" t="inlineStr">
        <is>
          <t>Quitar contenido demo / usuarios de prueba; WP_DEBUG off; borrar readme.html</t>
        </is>
      </c>
      <c r="E223" s="15" t="inlineStr">
        <is>
          <t>Integración</t>
        </is>
      </c>
      <c r="F223" s="15" t="inlineStr">
        <is>
          <t>—</t>
        </is>
      </c>
      <c r="G223" s="16" t="inlineStr">
        <is>
          <t>Limpieza de producción</t>
        </is>
      </c>
      <c r="H223" s="15" t="inlineStr"/>
      <c r="I223" s="15" t="inlineStr">
        <is>
          <t>Pendiente</t>
        </is>
      </c>
      <c r="J223" s="15" t="inlineStr">
        <is>
          <t>Media</t>
        </is>
      </c>
      <c r="K223" s="16" t="inlineStr"/>
      <c r="L223" s="16" t="inlineStr"/>
    </row>
    <row r="224">
      <c r="A224" s="15" t="inlineStr">
        <is>
          <t>INFRA-011</t>
        </is>
      </c>
      <c r="B224" s="16" t="inlineStr">
        <is>
          <t>Pre-lanzamiento / Infra</t>
        </is>
      </c>
      <c r="C224" s="16" t="inlineStr">
        <is>
          <t>Infra</t>
        </is>
      </c>
      <c r="D224" s="16" t="inlineStr">
        <is>
          <t>Sacar 'Disuadir motores de búsqueda' al salir a producción</t>
        </is>
      </c>
      <c r="E224" s="15" t="inlineStr">
        <is>
          <t>Integración</t>
        </is>
      </c>
      <c r="F224" s="15" t="inlineStr">
        <is>
          <t>—</t>
        </is>
      </c>
      <c r="G224" s="16" t="inlineStr">
        <is>
          <t>El sitio queda indexable</t>
        </is>
      </c>
      <c r="H224" s="15" t="inlineStr"/>
      <c r="I224" s="15" t="inlineStr">
        <is>
          <t>Pendiente</t>
        </is>
      </c>
      <c r="J224" s="15" t="inlineStr">
        <is>
          <t>Alta</t>
        </is>
      </c>
      <c r="K224" s="16" t="inlineStr"/>
      <c r="L224" s="16" t="inlineStr"/>
    </row>
  </sheetData>
  <autoFilter ref="A1:L224"/>
  <conditionalFormatting sqref="H2:H224">
    <cfRule type="cellIs" priority="1" operator="equal" dxfId="0">
      <formula>"✔"</formula>
    </cfRule>
  </conditionalFormatting>
  <conditionalFormatting sqref="I2:I224">
    <cfRule type="cellIs" priority="2" operator="equal" dxfId="0">
      <formula>"OK"</formula>
    </cfRule>
    <cfRule type="cellIs" priority="3" operator="equal" dxfId="1">
      <formula>"Falla"</formula>
    </cfRule>
    <cfRule type="cellIs" priority="4" operator="equal" dxfId="2">
      <formula>"Bloqueado"</formula>
    </cfRule>
  </conditionalFormatting>
  <conditionalFormatting sqref="J2:J224">
    <cfRule type="cellIs" priority="5" operator="equal" dxfId="1">
      <formula>"Bloqueante"</formula>
    </cfRule>
    <cfRule type="cellIs" priority="6" operator="equal" dxfId="2">
      <formula>"Alta"</formula>
    </cfRule>
  </conditionalFormatting>
  <dataValidations count="4">
    <dataValidation sqref="H2:H224" showDropDown="0" showInputMessage="0" showErrorMessage="0" allowBlank="1" type="list">
      <formula1>"✔"</formula1>
    </dataValidation>
    <dataValidation sqref="I2:I224" showDropDown="0" showInputMessage="0" showErrorMessage="0" allowBlank="1" type="list">
      <formula1>"Pendiente,OK,Falla,N/A,Bloqueado"</formula1>
    </dataValidation>
    <dataValidation sqref="J2:J224" showDropDown="0" showInputMessage="0" showErrorMessage="0" allowBlank="1" type="list">
      <formula1>"Bloqueante,Alta,Media,Baja"</formula1>
    </dataValidation>
    <dataValidation sqref="F2:F224" showDropDown="0" showInputMessage="0" showErrorMessage="0" allowBlank="1" type="list">
      <formula1>"Desktop,Tablet,Mobile,—"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7" t="inlineStr">
        <is>
          <t>Cómo usar</t>
        </is>
      </c>
      <c r="B1" s="18" t="inlineStr"/>
    </row>
    <row r="2">
      <c r="A2" s="3" t="inlineStr">
        <is>
          <t>Probado</t>
        </is>
      </c>
      <c r="B2" s="18" t="inlineStr">
        <is>
          <t>Elegí ✔ del desplegable cuando el caso quedó validado (la celda se pone verde).</t>
        </is>
      </c>
    </row>
    <row r="3">
      <c r="A3" s="3" t="inlineStr">
        <is>
          <t>Estado</t>
        </is>
      </c>
      <c r="B3" s="18" t="inlineStr">
        <is>
          <t>Pendiente / OK / Falla / N/A / Bloqueado (OK=verde, Falla=rojo).</t>
        </is>
      </c>
    </row>
    <row r="4">
      <c r="A4" s="3" t="inlineStr">
        <is>
          <t>Severidad</t>
        </is>
      </c>
      <c r="B4" s="18" t="inlineStr">
        <is>
          <t>Bloqueante / Alta / Media / Baja. Bloqueante/Alta resaltadas.</t>
        </is>
      </c>
    </row>
    <row r="5">
      <c r="A5" s="3" t="inlineStr">
        <is>
          <t>Dispositivo</t>
        </is>
      </c>
      <c r="B5" s="18" t="inlineStr">
        <is>
          <t>Los casos de diseño están separados en Desktop, Tablet y Mobile.</t>
        </is>
      </c>
    </row>
    <row r="6">
      <c r="A6" s="3" t="inlineStr">
        <is>
          <t>Filtros</t>
        </is>
      </c>
      <c r="B6" s="18" t="inlineStr">
        <is>
          <t>La hoja Checklist tiene filtros: filtrá por Área, Tipo, Estado, Severidad, etc.</t>
        </is>
      </c>
    </row>
    <row r="7">
      <c r="A7" s="3" t="inlineStr">
        <is>
          <t>Resumen</t>
        </is>
      </c>
      <c r="B7" s="18" t="inlineStr">
        <is>
          <t>Se calcula solo (avance %, fallas, bloqueantes sin probar) a partir del Checklist.</t>
        </is>
      </c>
    </row>
    <row r="8">
      <c r="A8" s="3" t="inlineStr"/>
      <c r="B8" s="18" t="inlineStr"/>
    </row>
    <row r="9">
      <c r="A9" s="3" t="inlineStr">
        <is>
          <t>Tipos</t>
        </is>
      </c>
      <c r="B9" s="18" t="inlineStr"/>
    </row>
    <row r="10">
      <c r="A10" s="3" t="inlineStr">
        <is>
          <t>Funcional</t>
        </is>
      </c>
      <c r="B10" s="18" t="inlineStr">
        <is>
          <t>Comportamiento / que la acción haga lo que debe.</t>
        </is>
      </c>
    </row>
    <row r="11">
      <c r="A11" s="3" t="inlineStr">
        <is>
          <t>Contenido</t>
        </is>
      </c>
      <c r="B11" s="18" t="inlineStr">
        <is>
          <t>Textos, datos, precios, ortografía, tuteo.</t>
        </is>
      </c>
    </row>
    <row r="12">
      <c r="A12" s="3" t="inlineStr">
        <is>
          <t>Diseño</t>
        </is>
      </c>
      <c r="B12" s="18" t="inlineStr">
        <is>
          <t>Layout y responsive (revisar en D/T/M).</t>
        </is>
      </c>
    </row>
    <row r="13">
      <c r="A13" s="3" t="inlineStr">
        <is>
          <t>Borde</t>
        </is>
      </c>
      <c r="B13" s="18" t="inlineStr">
        <is>
          <t>Casos límite, errores y combinaciones.</t>
        </is>
      </c>
    </row>
    <row r="14">
      <c r="A14" s="3" t="inlineStr">
        <is>
          <t>Integración</t>
        </is>
      </c>
      <c r="B14" s="18" t="inlineStr">
        <is>
          <t>Emails, pagos, analytics, terceros, infra.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2026-06-17T15:03:28Z</dcterms:created>
  <dcterms:modified xsi:type="dcterms:W3CDTF">2026-06-17T15:03:28Z</dcterms:modified>
</cp:coreProperties>
</file>